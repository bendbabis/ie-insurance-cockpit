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makram_ben_dbabis_accenture_com/Documents/Desktop/Business_Steering/"/>
    </mc:Choice>
  </mc:AlternateContent>
  <xr:revisionPtr revIDLastSave="58" documentId="8_{E231FFA9-595F-49FF-9DD3-4D83E1B9A2C4}" xr6:coauthVersionLast="47" xr6:coauthVersionMax="47" xr10:uidLastSave="{BB324822-F1C5-41F2-9D28-BEC511860751}"/>
  <bookViews>
    <workbookView xWindow="-98" yWindow="-98" windowWidth="21795" windowHeight="13875" activeTab="3" xr2:uid="{4B705F6A-30EC-4A5C-8511-B7E55602D85B}"/>
  </bookViews>
  <sheets>
    <sheet name="Client_List" sheetId="1" r:id="rId1"/>
    <sheet name="Team" sheetId="2" r:id="rId2"/>
    <sheet name="Pipe" sheetId="3" r:id="rId3"/>
    <sheet name="Backlog" sheetId="4" r:id="rId4"/>
  </sheets>
  <definedNames>
    <definedName name="_xlnm._FilterDatabase" localSheetId="3" hidden="1">Backlog!$A$1:$N$56</definedName>
    <definedName name="_xlnm._FilterDatabase" localSheetId="0" hidden="1">Client_List!$A$1:$A$160</definedName>
    <definedName name="_xlnm._FilterDatabase" localSheetId="1" hidden="1">Team!$A$1:$F$56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3" l="1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<sst xmlns="http://schemas.openxmlformats.org/spreadsheetml/2006/main" count="997" uniqueCount="468">
  <si>
    <t>Master Client Name</t>
  </si>
  <si>
    <t>AXA</t>
  </si>
  <si>
    <t>Restricted</t>
  </si>
  <si>
    <t>GROUPAMA SA</t>
  </si>
  <si>
    <t>HELVETIA BALOISE HOLDING AG</t>
  </si>
  <si>
    <t>BPCE</t>
  </si>
  <si>
    <t>COVEA</t>
  </si>
  <si>
    <t>BNP PARIBAS</t>
  </si>
  <si>
    <t>BUREAU COMMUN D'ASSURANCES</t>
  </si>
  <si>
    <t>MALAKOFF HUMANIS</t>
  </si>
  <si>
    <t>PRO BTP</t>
  </si>
  <si>
    <t>LONDON STOCK EXCHANGE GROUP</t>
  </si>
  <si>
    <t>NATIONAL BANK OF BEL</t>
  </si>
  <si>
    <t>ASSICURAZIONI GENERALI S.P.A.</t>
  </si>
  <si>
    <t>GROUPE CREDIT AGRICOLE</t>
  </si>
  <si>
    <t>SGAM AG2R LA MONDIALE</t>
  </si>
  <si>
    <t>IPD 3 B.V</t>
  </si>
  <si>
    <t>BELFIUS</t>
  </si>
  <si>
    <t>ATHORA HOLDING LTD</t>
  </si>
  <si>
    <t>MSI MAIF</t>
  </si>
  <si>
    <t>SOCIETE GENERALE</t>
  </si>
  <si>
    <t>ING</t>
  </si>
  <si>
    <t>ALLIANZ</t>
  </si>
  <si>
    <t>EUROCLEAR CLEARANCE</t>
  </si>
  <si>
    <t>AGEAS</t>
  </si>
  <si>
    <t>NEW PRIMONIAL HOLDING</t>
  </si>
  <si>
    <t>LABORATOIRES THEA</t>
  </si>
  <si>
    <t>MNSP</t>
  </si>
  <si>
    <t>MIF (MUTUELLE D'IVRY-LA FRA</t>
  </si>
  <si>
    <t>CRELANCO</t>
  </si>
  <si>
    <t>GROUPE VYV</t>
  </si>
  <si>
    <t>AEMA GROUPE</t>
  </si>
  <si>
    <t>SCOR</t>
  </si>
  <si>
    <t>DEUTSCHE BOERSE/CLEARSTREAM</t>
  </si>
  <si>
    <t>BANQUE ET CAISSE D'EPARGNE DE L'ETA</t>
  </si>
  <si>
    <t>L'OREAL</t>
  </si>
  <si>
    <t>GROUPEMENT DES CARTES BANCAIRES (CB</t>
  </si>
  <si>
    <t>TURGOT ASSET MANAGEMENT</t>
  </si>
  <si>
    <t>BTG PACTUAL INVESTIMENTOS S/A</t>
  </si>
  <si>
    <t>ADELAIDE GROUP</t>
  </si>
  <si>
    <t>WORLDLINE SA</t>
  </si>
  <si>
    <t>CRÉDIT MUTUEL</t>
  </si>
  <si>
    <t>CVC CAPITAL PARTNERS</t>
  </si>
  <si>
    <t>KLESIA</t>
  </si>
  <si>
    <t>LA BANQUE POSTALE</t>
  </si>
  <si>
    <t>SWISS LIFE</t>
  </si>
  <si>
    <t>PORTIMA</t>
  </si>
  <si>
    <t>FRANCE NATIONAL</t>
  </si>
  <si>
    <t>MARSH MCLENNAN</t>
  </si>
  <si>
    <t>EXOR-STELLANTIS</t>
  </si>
  <si>
    <t>JP MORGAN CHASE &amp; CO</t>
  </si>
  <si>
    <t>ROTHSCHILD &amp; CO.</t>
  </si>
  <si>
    <t>CINVEN</t>
  </si>
  <si>
    <t>SWIFT</t>
  </si>
  <si>
    <t>UBS</t>
  </si>
  <si>
    <t>UNEO</t>
  </si>
  <si>
    <t>MEMORITY SAS</t>
  </si>
  <si>
    <t>BLACKROCK INC.</t>
  </si>
  <si>
    <t>SDC CAPITAL PARTNERS, LLC</t>
  </si>
  <si>
    <t>HASCO NV</t>
  </si>
  <si>
    <t>LES MOUSQUETAIRES</t>
  </si>
  <si>
    <t>STATE STREET CORPORATION</t>
  </si>
  <si>
    <t>EUROPEAN UNION</t>
  </si>
  <si>
    <t>BANQUE DE LUXEMBOURG</t>
  </si>
  <si>
    <t>MUTUELLE DE POITIERS ASSURANCES</t>
  </si>
  <si>
    <t>BLACKSTONE INC.</t>
  </si>
  <si>
    <t>KORFINE NV</t>
  </si>
  <si>
    <t>CARAC</t>
  </si>
  <si>
    <t>EDIFY SA</t>
  </si>
  <si>
    <t>RIGBY GROUP (RG) PLC</t>
  </si>
  <si>
    <t>BANQUE PRIVÉE EDMOND DE</t>
  </si>
  <si>
    <t>DEXIA</t>
  </si>
  <si>
    <t>COUNCIL OF EUROPE</t>
  </si>
  <si>
    <t>EUROPEAN STABILITY MECHANISM (ESM)</t>
  </si>
  <si>
    <t>COOPERATIVE BANKS</t>
  </si>
  <si>
    <t>BANQUE RAIFFEISEN, SOCIETE</t>
  </si>
  <si>
    <t>ABACUS GROUP NV</t>
  </si>
  <si>
    <t>INA-HOLDING SCHAEFFLER GMBH &amp; CO KG</t>
  </si>
  <si>
    <t>INTERNAL / APP HR-SOLUTIONS HCM</t>
  </si>
  <si>
    <t>TESSI</t>
  </si>
  <si>
    <t>APICIL</t>
  </si>
  <si>
    <t>SHISEIDO COMPANY, LI</t>
  </si>
  <si>
    <t>MIZUHO FINANCIAL GROUP</t>
  </si>
  <si>
    <t>TUTELAIRE</t>
  </si>
  <si>
    <t>CHEQUE DEJEUNER</t>
  </si>
  <si>
    <t>VISA INTERNATIONAL</t>
  </si>
  <si>
    <t>RETHMANN SE &amp; CO</t>
  </si>
  <si>
    <t>MICHAEL PAGE INTERNATIONAL</t>
  </si>
  <si>
    <t>NY LIFE</t>
  </si>
  <si>
    <t>SYMRISE</t>
  </si>
  <si>
    <t>FRANCE ASSUREURS</t>
  </si>
  <si>
    <t>ASSURANCE FÉDÉRALE</t>
  </si>
  <si>
    <t>ASSOCIATIONS MUTUELLES LE CONSERVAT</t>
  </si>
  <si>
    <t>WEBSTER BANK</t>
  </si>
  <si>
    <t>BANCO BRADESCO SA</t>
  </si>
  <si>
    <t>EQT PARTNERS</t>
  </si>
  <si>
    <t>PRECISION CAPITAL S.A.</t>
  </si>
  <si>
    <t>APEX GROUP LTD</t>
  </si>
  <si>
    <t>MATMUT MUTUALITE</t>
  </si>
  <si>
    <t>AS HOLDINGS</t>
  </si>
  <si>
    <t>BANCONTACT PAYCONIC COMPANY</t>
  </si>
  <si>
    <t>AZIMUT HOLDING S.P.A.</t>
  </si>
  <si>
    <t>OAKTREE CAPITAL GROUP LLC</t>
  </si>
  <si>
    <t>DELCREDERE | DUCROIRE</t>
  </si>
  <si>
    <t>ADOLF WÜRTH GMBH &amp; CO. KG</t>
  </si>
  <si>
    <t>BANK OF AMERICA</t>
  </si>
  <si>
    <t>NORMA GROUP SE</t>
  </si>
  <si>
    <t>EUROPEAN CENTRAL BANK</t>
  </si>
  <si>
    <t>GIE KEREIS</t>
  </si>
  <si>
    <t>CARREFOUR</t>
  </si>
  <si>
    <t>BANQUE INTERNATIONALE À LUXEMBOURG</t>
  </si>
  <si>
    <t>EURONEXT NV</t>
  </si>
  <si>
    <t>SWISS STEEL GROUP</t>
  </si>
  <si>
    <t>VINCI</t>
  </si>
  <si>
    <t>EURAZEO SA</t>
  </si>
  <si>
    <t>FIBRES EXCELLENCE</t>
  </si>
  <si>
    <t>FOYER FINANCE S.A.</t>
  </si>
  <si>
    <t>ARDIAN HOLDING</t>
  </si>
  <si>
    <t>DSBG TOPCO S.A.S.</t>
  </si>
  <si>
    <t>CREPSA</t>
  </si>
  <si>
    <t>RENAULT NISSAN MITSUBISHI</t>
  </si>
  <si>
    <t>TOSHIBA CORPORATION</t>
  </si>
  <si>
    <t>GROUPE AUDIENS</t>
  </si>
  <si>
    <t>GROUPE INDUSTRIEL MARCEL DASSAULT</t>
  </si>
  <si>
    <t>ODDO BHF</t>
  </si>
  <si>
    <t>WASHTEC</t>
  </si>
  <si>
    <t>INTRUM</t>
  </si>
  <si>
    <t>MUNICH RE GROUP</t>
  </si>
  <si>
    <t>FOND DE CONSOLIDATION ET DE</t>
  </si>
  <si>
    <t>APOLLO GLOBAL MANAGEMENT LLC</t>
  </si>
  <si>
    <t>LLOYDS BANKING GROUP PLC</t>
  </si>
  <si>
    <t>HARIBO HOLDING</t>
  </si>
  <si>
    <t>ETS CAISSE CENTRALE ACTIVITE</t>
  </si>
  <si>
    <t>EUROPEAN FUND ADMINI</t>
  </si>
  <si>
    <t>DIABOLOCOM</t>
  </si>
  <si>
    <t>GROUPE EDITOR</t>
  </si>
  <si>
    <t>KBC</t>
  </si>
  <si>
    <t>GROUPE FRANCE MUTUELLE</t>
  </si>
  <si>
    <t>MGEN UNION</t>
  </si>
  <si>
    <t>ARGENTA SPAARBANK</t>
  </si>
  <si>
    <t>HSBC GROUP</t>
  </si>
  <si>
    <t>P&amp;V ASSURANCES SCRL</t>
  </si>
  <si>
    <t>ARÉAS ASSURANCES</t>
  </si>
  <si>
    <t>APRIL TECHNOLOGIES</t>
  </si>
  <si>
    <t>2CRSI</t>
  </si>
  <si>
    <t>CERBERUS CAPITAL MANAGEMENT, L.P.</t>
  </si>
  <si>
    <t>STONEFORT INSURANCE S.A</t>
  </si>
  <si>
    <t>COESIA GROUP</t>
  </si>
  <si>
    <t>DATASSUR C.V</t>
  </si>
  <si>
    <t>BBVA</t>
  </si>
  <si>
    <t>ADVENT INTERNATIONAL</t>
  </si>
  <si>
    <t>ECG BIDCO</t>
  </si>
  <si>
    <t>EUROBIO SCIENTIFIC</t>
  </si>
  <si>
    <t>MESSER GROUP</t>
  </si>
  <si>
    <t>Engagement Sociaux</t>
  </si>
  <si>
    <t>M&amp;G</t>
  </si>
  <si>
    <t>ACA</t>
  </si>
  <si>
    <t>CEA</t>
  </si>
  <si>
    <t>Actuariat Corporate</t>
  </si>
  <si>
    <t>MITSUBISHI UFJ FINANCIAL GROUP</t>
  </si>
  <si>
    <t>ID</t>
  </si>
  <si>
    <t>Nom</t>
  </si>
  <si>
    <t>Prénom</t>
  </si>
  <si>
    <t>Grade</t>
  </si>
  <si>
    <t>Leaver Y/N</t>
  </si>
  <si>
    <t>Date of leave</t>
  </si>
  <si>
    <t>adja.a.diakhate</t>
  </si>
  <si>
    <t>Aissata Yowma Diakhate</t>
  </si>
  <si>
    <t>Adja</t>
  </si>
  <si>
    <t>13- New Associate</t>
  </si>
  <si>
    <t>N</t>
  </si>
  <si>
    <t>eliot.nehme</t>
  </si>
  <si>
    <t>Nehme</t>
  </si>
  <si>
    <t>Eliot</t>
  </si>
  <si>
    <t>Y</t>
  </si>
  <si>
    <t>g.de.besombes.singla</t>
  </si>
  <si>
    <t>de Besombes Singla</t>
  </si>
  <si>
    <t>Gabriel</t>
  </si>
  <si>
    <t>antonin.boucard</t>
  </si>
  <si>
    <t>Boucard</t>
  </si>
  <si>
    <t>Antonin</t>
  </si>
  <si>
    <t xml:space="preserve">Tchoupe Sa'ah, </t>
  </si>
  <si>
    <t>Loic Dirane</t>
  </si>
  <si>
    <t>aissa.meziani</t>
  </si>
  <si>
    <t>Meziani</t>
  </si>
  <si>
    <t>Aissa</t>
  </si>
  <si>
    <t>11- Analyst</t>
  </si>
  <si>
    <t>fabien.stephan</t>
  </si>
  <si>
    <t>Stephan</t>
  </si>
  <si>
    <t>Fabien</t>
  </si>
  <si>
    <t>francois.de.basquiat</t>
  </si>
  <si>
    <t>de Basquiat</t>
  </si>
  <si>
    <t>François</t>
  </si>
  <si>
    <t>gaylord.legris</t>
  </si>
  <si>
    <t>Legris</t>
  </si>
  <si>
    <t>Gaylord</t>
  </si>
  <si>
    <t>m.laraqui.housseini</t>
  </si>
  <si>
    <t>Laraqui Housseini</t>
  </si>
  <si>
    <t>Malak</t>
  </si>
  <si>
    <t>a.a.dos.santos</t>
  </si>
  <si>
    <t>Dos Santos</t>
  </si>
  <si>
    <t>Adriana</t>
  </si>
  <si>
    <t>9- Consultant</t>
  </si>
  <si>
    <t>ahmed.amine.azri</t>
  </si>
  <si>
    <t>Amine Azri</t>
  </si>
  <si>
    <t>Ahmed</t>
  </si>
  <si>
    <t>amelie.de.la.haye</t>
  </si>
  <si>
    <t>De La Haye</t>
  </si>
  <si>
    <t>Amélie</t>
  </si>
  <si>
    <t>aurelien.lenormand</t>
  </si>
  <si>
    <t>Lenormand</t>
  </si>
  <si>
    <t>Aurélien</t>
  </si>
  <si>
    <t>auxane.ripoll.valat</t>
  </si>
  <si>
    <t>Ripoll Valat</t>
  </si>
  <si>
    <t>Auxane</t>
  </si>
  <si>
    <t>bakan.konan</t>
  </si>
  <si>
    <t>Konan</t>
  </si>
  <si>
    <t>Bakan</t>
  </si>
  <si>
    <t>benedict.jambois</t>
  </si>
  <si>
    <t>Jambois</t>
  </si>
  <si>
    <t>Benedict</t>
  </si>
  <si>
    <t>bertrand.bercier</t>
  </si>
  <si>
    <t>Bercier</t>
  </si>
  <si>
    <t>Betrand</t>
  </si>
  <si>
    <t>coralie.bonnifait</t>
  </si>
  <si>
    <t>Bonnifait</t>
  </si>
  <si>
    <t>Coralie</t>
  </si>
  <si>
    <t>herve.agenet</t>
  </si>
  <si>
    <t>Agenet</t>
  </si>
  <si>
    <t>Herve</t>
  </si>
  <si>
    <t>hong.h.zhang</t>
  </si>
  <si>
    <t>Zhang</t>
  </si>
  <si>
    <t>Hong</t>
  </si>
  <si>
    <t>hugo.tambrun</t>
  </si>
  <si>
    <t>Tambrun</t>
  </si>
  <si>
    <t>Hugo</t>
  </si>
  <si>
    <t>jordan.girardini</t>
  </si>
  <si>
    <t>Girardini</t>
  </si>
  <si>
    <t>Jordan</t>
  </si>
  <si>
    <t>maria.rakotoniaina</t>
  </si>
  <si>
    <t>Rakotoniaina</t>
  </si>
  <si>
    <t>Maria</t>
  </si>
  <si>
    <t>mathis.ouali</t>
  </si>
  <si>
    <t>Ouali</t>
  </si>
  <si>
    <t>Mathis</t>
  </si>
  <si>
    <t>maxime.beillan</t>
  </si>
  <si>
    <t>Beillan</t>
  </si>
  <si>
    <t>Maxime</t>
  </si>
  <si>
    <t>m.salloum-yousfan</t>
  </si>
  <si>
    <t>Salloum-Yousfan</t>
  </si>
  <si>
    <t>mehdi.turki</t>
  </si>
  <si>
    <t>Turki</t>
  </si>
  <si>
    <t>Mehdi</t>
  </si>
  <si>
    <t>morgane.dugue</t>
  </si>
  <si>
    <t>Dugué</t>
  </si>
  <si>
    <t>Morgane</t>
  </si>
  <si>
    <t>pablo.gassiot</t>
  </si>
  <si>
    <t>Gassiot</t>
  </si>
  <si>
    <t>Pablo</t>
  </si>
  <si>
    <t>pierre.morlon</t>
  </si>
  <si>
    <t>Morlon</t>
  </si>
  <si>
    <t>Pierre</t>
  </si>
  <si>
    <t>soufiane.mousterji</t>
  </si>
  <si>
    <t>Mousterji</t>
  </si>
  <si>
    <t>Soufiane</t>
  </si>
  <si>
    <t>thomas.canon</t>
  </si>
  <si>
    <t>Canon</t>
  </si>
  <si>
    <t>Thomas</t>
  </si>
  <si>
    <t>victor.dequatre</t>
  </si>
  <si>
    <t>Dequatre</t>
  </si>
  <si>
    <t>Victor</t>
  </si>
  <si>
    <t>yacine.lalou</t>
  </si>
  <si>
    <t>Lalou</t>
  </si>
  <si>
    <t>Yacine</t>
  </si>
  <si>
    <t>yossi.hayoun</t>
  </si>
  <si>
    <t>Hayoun</t>
  </si>
  <si>
    <t>Yossi</t>
  </si>
  <si>
    <t>zineb.ahizoun</t>
  </si>
  <si>
    <t>Ahizoun</t>
  </si>
  <si>
    <t>Zineb</t>
  </si>
  <si>
    <t>charles.a.tan</t>
  </si>
  <si>
    <t>A. Tan</t>
  </si>
  <si>
    <t>Charles</t>
  </si>
  <si>
    <t>7- Manager</t>
  </si>
  <si>
    <t>l.ngomo.tchapchet</t>
  </si>
  <si>
    <t>Kevin Ngomo Tchaptchet</t>
  </si>
  <si>
    <t>Leonel</t>
  </si>
  <si>
    <t>linda.mbakop</t>
  </si>
  <si>
    <t>Mbakop Chimi</t>
  </si>
  <si>
    <t>Linda</t>
  </si>
  <si>
    <t>luc.gourlaouen</t>
  </si>
  <si>
    <t>Gourlaouen</t>
  </si>
  <si>
    <t>Luc</t>
  </si>
  <si>
    <t>rachel.atia</t>
  </si>
  <si>
    <t>Atia</t>
  </si>
  <si>
    <t>Rachel</t>
  </si>
  <si>
    <t>romain.joret</t>
  </si>
  <si>
    <t>Joret</t>
  </si>
  <si>
    <t>Romain</t>
  </si>
  <si>
    <t>siqi.d.zhang</t>
  </si>
  <si>
    <t>Siqi</t>
  </si>
  <si>
    <t>thierry.bordi</t>
  </si>
  <si>
    <t>Bordi</t>
  </si>
  <si>
    <t>Thierry</t>
  </si>
  <si>
    <t>thomas.kutter-bozec</t>
  </si>
  <si>
    <t>Kutter-Bozec</t>
  </si>
  <si>
    <t>usher.j.arriko</t>
  </si>
  <si>
    <t>J. Arriko</t>
  </si>
  <si>
    <t>Usher</t>
  </si>
  <si>
    <t>walid.ben.lamine</t>
  </si>
  <si>
    <t>Ben Lamine</t>
  </si>
  <si>
    <t>Walid</t>
  </si>
  <si>
    <t>albin.tranchard</t>
  </si>
  <si>
    <t>Tranchard</t>
  </si>
  <si>
    <t>Albin</t>
  </si>
  <si>
    <t>5- Associate Director</t>
  </si>
  <si>
    <t>alexandre.keiflin</t>
  </si>
  <si>
    <t>Keiflin</t>
  </si>
  <si>
    <t>Alexandre</t>
  </si>
  <si>
    <t>florence.larmanjat</t>
  </si>
  <si>
    <t>Larmanjat</t>
  </si>
  <si>
    <t>Florence</t>
  </si>
  <si>
    <t>6- Senior Manager</t>
  </si>
  <si>
    <t>frederique.schmidt</t>
  </si>
  <si>
    <t>Schmidt</t>
  </si>
  <si>
    <t>Frederique</t>
  </si>
  <si>
    <t>lionel.aldebert</t>
  </si>
  <si>
    <t>Aldebert</t>
  </si>
  <si>
    <t>Lionel</t>
  </si>
  <si>
    <t>samuel.thomas</t>
  </si>
  <si>
    <t>Samuel</t>
  </si>
  <si>
    <t>thibault.gauthier</t>
  </si>
  <si>
    <t>Gauthier</t>
  </si>
  <si>
    <t>Thibault</t>
  </si>
  <si>
    <t>Opportunity 
ID #</t>
  </si>
  <si>
    <t>Master Client Name 2</t>
  </si>
  <si>
    <t>Opportunity Name</t>
  </si>
  <si>
    <t>Description</t>
  </si>
  <si>
    <t>Start date</t>
  </si>
  <si>
    <t>Duration in month</t>
  </si>
  <si>
    <t>End Date</t>
  </si>
  <si>
    <t>Total Revenue K€</t>
  </si>
  <si>
    <t>Prob</t>
  </si>
  <si>
    <t>Generali Vie</t>
  </si>
  <si>
    <t>Actu_GenVie_Exit_Prophet_Study</t>
  </si>
  <si>
    <t>Phase de cadrage du projet d'exit Prophet</t>
  </si>
  <si>
    <t>Actu_Gen_Vie_Exit_Prophet_Implem</t>
  </si>
  <si>
    <t xml:space="preserve">Phase de projet d'exit Prophet </t>
  </si>
  <si>
    <t>Actu_GenVie_Régie</t>
  </si>
  <si>
    <t>Placeholder pour les missions de régie actuarielle chez Generalie Vie</t>
  </si>
  <si>
    <t>Generali IARD</t>
  </si>
  <si>
    <t>Actu_GenIARD_Réfie_Q4</t>
  </si>
  <si>
    <t>Placeholder pour les missions de régie actuarielle chez Generalie P&amp;C</t>
  </si>
  <si>
    <t>Carma</t>
  </si>
  <si>
    <t>Actu_Carma_S2_ORSA</t>
  </si>
  <si>
    <t xml:space="preserve">Mission de production S2 et ORSA </t>
  </si>
  <si>
    <t>Actu_MGEN_Régie</t>
  </si>
  <si>
    <t>Placeholder pour les missions de régie actuarielle chez MGEN</t>
  </si>
  <si>
    <t>Actu_MGEN_Projet_FollowOn</t>
  </si>
  <si>
    <t>Extension des missions de projet d'industrialisation du compte de résultat</t>
  </si>
  <si>
    <t>Cardif</t>
  </si>
  <si>
    <t>Actu_Cardif_Nova_Platform</t>
  </si>
  <si>
    <t>Projet de mise en place de la platform Databricks pour les actuaires</t>
  </si>
  <si>
    <t>Actu_Cardif_Régie</t>
  </si>
  <si>
    <t>Placeholder pour les missions de régie actuarielle chez Cardif</t>
  </si>
  <si>
    <t>Actu_Cardif_P&amp;C_Régie</t>
  </si>
  <si>
    <t>Placeholder pour les missions de régie actuarielle chez Cardif P&amp;C</t>
  </si>
  <si>
    <t>Actu_Cardif_Cadrage_DataPlatform</t>
  </si>
  <si>
    <t>Projet de cadrage de Data Platform Exit SAS et Alteryx</t>
  </si>
  <si>
    <t>AG2R LA MONDIALE</t>
  </si>
  <si>
    <t>Actu_AG2R_E&amp;R_Avenant</t>
  </si>
  <si>
    <t>Projet de migration Legacy Epargne Retraite</t>
  </si>
  <si>
    <t>Actu_AG2R_Actuarial_Plaform</t>
  </si>
  <si>
    <t>Projet d'exit Tyche pour construire une platform actuarielle sur GCP</t>
  </si>
  <si>
    <t>Actu_AG2R_Régie</t>
  </si>
  <si>
    <t>Placeholder pour les missions de régie actuarielle chez AG2R</t>
  </si>
  <si>
    <t>Covea</t>
  </si>
  <si>
    <t>Actu_Covea_AgiTarif</t>
  </si>
  <si>
    <t>Projet de modernisation de l'écosystème de tarification IARD</t>
  </si>
  <si>
    <t>UMR</t>
  </si>
  <si>
    <t>Actu_UMR_Extension_model</t>
  </si>
  <si>
    <t>Extension de projet de modélisation ALM chez UMR</t>
  </si>
  <si>
    <t>Mutex</t>
  </si>
  <si>
    <t>Actu_Mutex_model</t>
  </si>
  <si>
    <t>Projet d'extension de la platform de modélisation UMR sur les produits Mutex</t>
  </si>
  <si>
    <t>Belfius - Partnership auto</t>
  </si>
  <si>
    <t>Actu_Belfius_PartenariatActu</t>
  </si>
  <si>
    <t xml:space="preserve">Partenariat Actuarielle pour maîtriser les enjeux IARD sur le marché Français </t>
  </si>
  <si>
    <t>Actu_Passit Sociaux</t>
  </si>
  <si>
    <t>Placeholder pour les projet de calcul des engagements sociaux</t>
  </si>
  <si>
    <t>Actu_Actuariat_Corporate</t>
  </si>
  <si>
    <t>Placeholder pour les projet d'actuariat corporate</t>
  </si>
  <si>
    <t>Créé</t>
  </si>
  <si>
    <t>CAA</t>
  </si>
  <si>
    <t>Actu_CAA_S2_QRT</t>
  </si>
  <si>
    <t>Projet d'optimisation du processus de reporting S2</t>
  </si>
  <si>
    <t>Actu_M&amp;G_ActuarialPlatform_Study</t>
  </si>
  <si>
    <t>Projet de replatforming actuarielle et exit WTW tools</t>
  </si>
  <si>
    <t>Actu_CEA</t>
  </si>
  <si>
    <t xml:space="preserve">Projet chez le centre d'étude atomique </t>
  </si>
  <si>
    <t>MH</t>
  </si>
  <si>
    <t>Actu_MH_MigBoss</t>
  </si>
  <si>
    <t>Projet de migration de legacy Boss</t>
  </si>
  <si>
    <t>TBD</t>
  </si>
  <si>
    <t>Actu_BPCE_ProdS2</t>
  </si>
  <si>
    <t>Projet de régie actuarielle pour la production S2</t>
  </si>
  <si>
    <t>TJ  €</t>
  </si>
  <si>
    <t>Client</t>
  </si>
  <si>
    <t>Mission</t>
  </si>
  <si>
    <t>Taux de staffing actuel</t>
  </si>
  <si>
    <t>Fin</t>
  </si>
  <si>
    <t>WBS</t>
  </si>
  <si>
    <t>Prob Renewal</t>
  </si>
  <si>
    <t>Duration</t>
  </si>
  <si>
    <t>Budget in K€</t>
  </si>
  <si>
    <t xml:space="preserve">Alternant </t>
  </si>
  <si>
    <t>CAA Exit SAS</t>
  </si>
  <si>
    <t xml:space="preserve">CSRNT001 </t>
  </si>
  <si>
    <t xml:space="preserve">CIPPI001 </t>
  </si>
  <si>
    <t>Prod S2 IFRS17 Epargne</t>
  </si>
  <si>
    <t xml:space="preserve">CMI03001 </t>
  </si>
  <si>
    <t>Modélisation Epargne</t>
  </si>
  <si>
    <t xml:space="preserve">CWOUB001 </t>
  </si>
  <si>
    <t>MGEN</t>
  </si>
  <si>
    <t xml:space="preserve">Industrialisation CDR santé </t>
  </si>
  <si>
    <t xml:space="preserve">CJFH5001 </t>
  </si>
  <si>
    <t>LA POSTE</t>
  </si>
  <si>
    <t>A définir</t>
  </si>
  <si>
    <t> </t>
  </si>
  <si>
    <t xml:space="preserve">Z031SE18 </t>
  </si>
  <si>
    <t>Actuariat produit Epargne</t>
  </si>
  <si>
    <t>Passifs sociaux</t>
  </si>
  <si>
    <t xml:space="preserve">CJDP0004 </t>
  </si>
  <si>
    <t>Industrialisation de chaine de production</t>
  </si>
  <si>
    <t>Prod S2 Santé / Actuariat International</t>
  </si>
  <si>
    <t xml:space="preserve">CUMOH001 </t>
  </si>
  <si>
    <t>Europ Assistance</t>
  </si>
  <si>
    <t>Mise en place DK</t>
  </si>
  <si>
    <t>Maintenance IT</t>
  </si>
  <si>
    <t xml:space="preserve">CKHCX001 </t>
  </si>
  <si>
    <t>Régie actuarielle</t>
  </si>
  <si>
    <t xml:space="preserve">Inventaire french gaap &amp; S2 </t>
  </si>
  <si>
    <t xml:space="preserve">CTOON001 </t>
  </si>
  <si>
    <t>AXA Belgique</t>
  </si>
  <si>
    <t>Tarification IARD - Projet Clup</t>
  </si>
  <si>
    <t>CGB4G00C</t>
  </si>
  <si>
    <t>CVTI2001</t>
  </si>
  <si>
    <t>Tarification IARD</t>
  </si>
  <si>
    <t xml:space="preserve">BAU - inventaire Epargne </t>
  </si>
  <si>
    <t xml:space="preserve">CRTG2001 </t>
  </si>
  <si>
    <t>AXA - Health set up</t>
  </si>
  <si>
    <t xml:space="preserve">COH7Z001 </t>
  </si>
  <si>
    <t xml:space="preserve">Transfo Cadrage Modèle </t>
  </si>
  <si>
    <t xml:space="preserve">ZO36FBO2 </t>
  </si>
  <si>
    <t>Contrôle de gestion Epargne</t>
  </si>
  <si>
    <t xml:space="preserve">CLIW5001 </t>
  </si>
  <si>
    <t>Capitives</t>
  </si>
  <si>
    <t>Accompagnement souscription Santé Prév</t>
  </si>
  <si>
    <t xml:space="preserve">CJFIG001 </t>
  </si>
  <si>
    <t xml:space="preserve">MH Accélérateur  </t>
  </si>
  <si>
    <t>CORTEX - Transformation Reporting S2</t>
  </si>
  <si>
    <t>Revue S2</t>
  </si>
  <si>
    <t>AgiTarif P&amp;C</t>
  </si>
  <si>
    <t xml:space="preserve">CYP1A001 </t>
  </si>
  <si>
    <t>Groupama</t>
  </si>
  <si>
    <t>AXA Health</t>
  </si>
  <si>
    <t>Mise en place Dock Crick</t>
  </si>
  <si>
    <t>Accélérateur Migration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</si>
</sst>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;@"/>
    <numFmt numFmtId="165" formatCode="[$-40C]mmm\-yy;@"/>
    <numFmt numFmtId="166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i/>
      <sz val="9"/>
      <color theme="3" tint="9.9978637043366805E-2"/>
      <name val="Calibri"/>
      <family val="2"/>
    </font>
    <font>
      <b/>
      <sz val="9"/>
      <color theme="3" tint="9.9978637043366805E-2"/>
      <name val="Calibri"/>
      <family val="2"/>
    </font>
    <font>
      <sz val="9"/>
      <color theme="3" tint="9.9978637043366805E-2"/>
      <name val="Calibri"/>
      <family val="2"/>
    </font>
    <font>
      <sz val="9"/>
      <name val="Calibri"/>
      <family val="2"/>
    </font>
    <font>
      <sz val="9"/>
      <color rgb="FF4A2C6B"/>
      <name val="Calibri"/>
      <family val="2"/>
    </font>
    <font>
      <sz val="10"/>
      <color rgb="FF4A2C6B"/>
      <name val="Calibri"/>
      <family val="2"/>
    </font>
    <font>
      <b/>
      <sz val="8"/>
      <color rgb="FFFFFFFF"/>
      <name val="Calibri"/>
      <family val="2"/>
    </font>
    <font>
      <sz val="8"/>
      <color theme="1"/>
      <name val="Aptos Narrow"/>
      <family val="2"/>
      <scheme val="minor"/>
    </font>
    <font>
      <i/>
      <sz val="8"/>
      <color theme="3" tint="9.9978637043366805E-2"/>
      <name val="Calibri"/>
      <family val="2"/>
    </font>
    <font>
      <b/>
      <sz val="8"/>
      <color theme="3" tint="9.9978637043366805E-2"/>
      <name val="Calibri"/>
      <family val="2"/>
    </font>
    <font>
      <sz val="8"/>
      <color theme="3" tint="9.9978637043366805E-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B4FA6"/>
        <bgColor rgb="FF000000"/>
      </patternFill>
    </fill>
    <fill>
      <patternFill patternType="solid">
        <fgColor rgb="FFEDE3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hair">
        <color rgb="FF9B72C8"/>
      </right>
      <top/>
      <bottom style="hair">
        <color rgb="FF9B72C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0" xfId="0" applyFont="1"/>
    <xf numFmtId="0" fontId="6" fillId="3" borderId="3" xfId="0" applyFont="1" applyFill="1" applyBorder="1"/>
    <xf numFmtId="0" fontId="7" fillId="3" borderId="3" xfId="0" applyFont="1" applyFill="1" applyBorder="1"/>
    <xf numFmtId="0" fontId="8" fillId="3" borderId="3" xfId="0" applyFont="1" applyFill="1" applyBorder="1"/>
    <xf numFmtId="0" fontId="6" fillId="4" borderId="3" xfId="0" applyFont="1" applyFill="1" applyBorder="1"/>
    <xf numFmtId="0" fontId="7" fillId="4" borderId="3" xfId="0" applyFont="1" applyFill="1" applyBorder="1"/>
    <xf numFmtId="0" fontId="8" fillId="4" borderId="3" xfId="0" applyFont="1" applyFill="1" applyBorder="1"/>
    <xf numFmtId="14" fontId="8" fillId="4" borderId="3" xfId="0" applyNumberFormat="1" applyFont="1" applyFill="1" applyBorder="1"/>
    <xf numFmtId="14" fontId="8" fillId="3" borderId="3" xfId="0" applyNumberFormat="1" applyFont="1" applyFill="1" applyBorder="1"/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10" fillId="3" borderId="3" xfId="0" applyFont="1" applyFill="1" applyBorder="1"/>
    <xf numFmtId="165" fontId="11" fillId="3" borderId="3" xfId="0" applyNumberFormat="1" applyFont="1" applyFill="1" applyBorder="1" applyAlignment="1">
      <alignment horizontal="center"/>
    </xf>
    <xf numFmtId="166" fontId="11" fillId="3" borderId="3" xfId="1" applyNumberFormat="1" applyFont="1" applyFill="1" applyBorder="1" applyAlignment="1">
      <alignment horizontal="center"/>
    </xf>
    <xf numFmtId="3" fontId="11" fillId="3" borderId="3" xfId="0" applyNumberFormat="1" applyFont="1" applyFill="1" applyBorder="1"/>
    <xf numFmtId="9" fontId="11" fillId="3" borderId="3" xfId="2" applyFont="1" applyFill="1" applyBorder="1"/>
    <xf numFmtId="0" fontId="9" fillId="4" borderId="3" xfId="0" applyFont="1" applyFill="1" applyBorder="1" applyAlignment="1">
      <alignment horizontal="center"/>
    </xf>
    <xf numFmtId="0" fontId="10" fillId="4" borderId="3" xfId="0" applyFont="1" applyFill="1" applyBorder="1"/>
    <xf numFmtId="165" fontId="11" fillId="5" borderId="3" xfId="0" applyNumberFormat="1" applyFont="1" applyFill="1" applyBorder="1" applyAlignment="1">
      <alignment horizontal="center"/>
    </xf>
    <xf numFmtId="166" fontId="11" fillId="5" borderId="3" xfId="1" applyNumberFormat="1" applyFont="1" applyFill="1" applyBorder="1" applyAlignment="1">
      <alignment horizontal="center"/>
    </xf>
    <xf numFmtId="3" fontId="11" fillId="4" borderId="3" xfId="0" applyNumberFormat="1" applyFont="1" applyFill="1" applyBorder="1"/>
    <xf numFmtId="9" fontId="11" fillId="4" borderId="3" xfId="2" applyFont="1" applyFill="1" applyBorder="1"/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9" fontId="12" fillId="2" borderId="2" xfId="2" applyFont="1" applyFill="1" applyBorder="1" applyAlignment="1">
      <alignment wrapText="1"/>
    </xf>
    <xf numFmtId="0" fontId="13" fillId="0" borderId="0" xfId="0" applyFont="1"/>
    <xf numFmtId="0" fontId="14" fillId="3" borderId="3" xfId="0" applyFont="1" applyFill="1" applyBorder="1"/>
    <xf numFmtId="0" fontId="15" fillId="3" borderId="3" xfId="0" applyFont="1" applyFill="1" applyBorder="1"/>
    <xf numFmtId="0" fontId="16" fillId="3" borderId="3" xfId="0" applyFont="1" applyFill="1" applyBorder="1"/>
    <xf numFmtId="9" fontId="16" fillId="3" borderId="3" xfId="2" applyFont="1" applyFill="1" applyBorder="1"/>
    <xf numFmtId="14" fontId="16" fillId="3" borderId="3" xfId="0" applyNumberFormat="1" applyFont="1" applyFill="1" applyBorder="1"/>
    <xf numFmtId="0" fontId="16" fillId="0" borderId="0" xfId="0" applyFont="1"/>
    <xf numFmtId="0" fontId="14" fillId="4" borderId="3" xfId="0" applyFont="1" applyFill="1" applyBorder="1"/>
    <xf numFmtId="0" fontId="15" fillId="4" borderId="3" xfId="0" applyFont="1" applyFill="1" applyBorder="1"/>
    <xf numFmtId="0" fontId="16" fillId="4" borderId="3" xfId="0" applyFont="1" applyFill="1" applyBorder="1"/>
    <xf numFmtId="9" fontId="16" fillId="4" borderId="3" xfId="2" applyFont="1" applyFill="1" applyBorder="1"/>
    <xf numFmtId="14" fontId="16" fillId="4" borderId="3" xfId="0" applyNumberFormat="1" applyFont="1" applyFill="1" applyBorder="1"/>
  </cellXfs>
  <cellStyles count="4">
    <cellStyle name="Comma" xfId="1" builtinId="3"/>
    <cellStyle name="Normal" xfId="0" builtinId="0"/>
    <cellStyle name="Normal 4" xfId="3" xr:uid="{81D89E25-4D97-431B-BEF8-90E71223538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C332-FE77-442D-8D9C-8569FC541E34}">
  <dimension ref="A1:A160"/>
  <sheetViews>
    <sheetView workbookViewId="0">
      <selection activeCell="A21" sqref="A21"/>
    </sheetView>
  </sheetViews>
  <sheetFormatPr defaultRowHeight="14.25" x14ac:dyDescent="0.45"/>
  <cols>
    <col min="1" max="1" width="30.9296875" style="1" bestFit="1" customWidth="1"/>
  </cols>
  <sheetData>
    <row r="1" spans="1:1" x14ac:dyDescent="0.45">
      <c r="A1" s="2" t="s">
        <v>0</v>
      </c>
    </row>
    <row r="2" spans="1:1" x14ac:dyDescent="0.45">
      <c r="A2" s="5" t="s">
        <v>1</v>
      </c>
    </row>
    <row r="3" spans="1:1" x14ac:dyDescent="0.45">
      <c r="A3" s="8" t="s">
        <v>2</v>
      </c>
    </row>
    <row r="4" spans="1:1" x14ac:dyDescent="0.45">
      <c r="A4" s="5" t="s">
        <v>3</v>
      </c>
    </row>
    <row r="5" spans="1:1" x14ac:dyDescent="0.45">
      <c r="A5" s="8" t="s">
        <v>4</v>
      </c>
    </row>
    <row r="6" spans="1:1" x14ac:dyDescent="0.45">
      <c r="A6" s="5" t="s">
        <v>5</v>
      </c>
    </row>
    <row r="7" spans="1:1" x14ac:dyDescent="0.45">
      <c r="A7" s="8" t="s">
        <v>6</v>
      </c>
    </row>
    <row r="8" spans="1:1" x14ac:dyDescent="0.45">
      <c r="A8" s="5" t="s">
        <v>7</v>
      </c>
    </row>
    <row r="9" spans="1:1" x14ac:dyDescent="0.45">
      <c r="A9" s="8" t="s">
        <v>8</v>
      </c>
    </row>
    <row r="10" spans="1:1" x14ac:dyDescent="0.45">
      <c r="A10" s="5" t="s">
        <v>9</v>
      </c>
    </row>
    <row r="11" spans="1:1" x14ac:dyDescent="0.45">
      <c r="A11" s="8" t="s">
        <v>10</v>
      </c>
    </row>
    <row r="12" spans="1:1" x14ac:dyDescent="0.45">
      <c r="A12" s="5" t="s">
        <v>11</v>
      </c>
    </row>
    <row r="13" spans="1:1" x14ac:dyDescent="0.45">
      <c r="A13" s="8" t="s">
        <v>12</v>
      </c>
    </row>
    <row r="14" spans="1:1" x14ac:dyDescent="0.45">
      <c r="A14" s="5" t="s">
        <v>13</v>
      </c>
    </row>
    <row r="15" spans="1:1" x14ac:dyDescent="0.45">
      <c r="A15" s="8" t="s">
        <v>14</v>
      </c>
    </row>
    <row r="16" spans="1:1" x14ac:dyDescent="0.45">
      <c r="A16" s="5" t="s">
        <v>15</v>
      </c>
    </row>
    <row r="17" spans="1:1" x14ac:dyDescent="0.45">
      <c r="A17" s="8" t="s">
        <v>16</v>
      </c>
    </row>
    <row r="18" spans="1:1" x14ac:dyDescent="0.45">
      <c r="A18" s="5" t="s">
        <v>17</v>
      </c>
    </row>
    <row r="19" spans="1:1" x14ac:dyDescent="0.45">
      <c r="A19" s="8" t="s">
        <v>18</v>
      </c>
    </row>
    <row r="20" spans="1:1" x14ac:dyDescent="0.45">
      <c r="A20" s="5" t="s">
        <v>19</v>
      </c>
    </row>
    <row r="21" spans="1:1" x14ac:dyDescent="0.45">
      <c r="A21" s="8" t="s">
        <v>20</v>
      </c>
    </row>
    <row r="22" spans="1:1" x14ac:dyDescent="0.45">
      <c r="A22" s="5" t="s">
        <v>21</v>
      </c>
    </row>
    <row r="23" spans="1:1" x14ac:dyDescent="0.45">
      <c r="A23" s="8" t="s">
        <v>22</v>
      </c>
    </row>
    <row r="24" spans="1:1" x14ac:dyDescent="0.45">
      <c r="A24" s="5" t="s">
        <v>23</v>
      </c>
    </row>
    <row r="25" spans="1:1" x14ac:dyDescent="0.45">
      <c r="A25" s="8" t="s">
        <v>24</v>
      </c>
    </row>
    <row r="26" spans="1:1" x14ac:dyDescent="0.45">
      <c r="A26" s="5" t="s">
        <v>25</v>
      </c>
    </row>
    <row r="27" spans="1:1" x14ac:dyDescent="0.45">
      <c r="A27" s="8" t="s">
        <v>26</v>
      </c>
    </row>
    <row r="28" spans="1:1" x14ac:dyDescent="0.45">
      <c r="A28" s="5" t="s">
        <v>27</v>
      </c>
    </row>
    <row r="29" spans="1:1" x14ac:dyDescent="0.45">
      <c r="A29" s="8" t="s">
        <v>28</v>
      </c>
    </row>
    <row r="30" spans="1:1" x14ac:dyDescent="0.45">
      <c r="A30" s="5" t="s">
        <v>29</v>
      </c>
    </row>
    <row r="31" spans="1:1" x14ac:dyDescent="0.45">
      <c r="A31" s="8" t="s">
        <v>30</v>
      </c>
    </row>
    <row r="32" spans="1:1" x14ac:dyDescent="0.45">
      <c r="A32" s="5" t="s">
        <v>31</v>
      </c>
    </row>
    <row r="33" spans="1:1" x14ac:dyDescent="0.45">
      <c r="A33" s="8" t="s">
        <v>32</v>
      </c>
    </row>
    <row r="34" spans="1:1" x14ac:dyDescent="0.45">
      <c r="A34" s="5" t="s">
        <v>33</v>
      </c>
    </row>
    <row r="35" spans="1:1" x14ac:dyDescent="0.45">
      <c r="A35" s="8" t="s">
        <v>34</v>
      </c>
    </row>
    <row r="36" spans="1:1" x14ac:dyDescent="0.45">
      <c r="A36" s="5" t="s">
        <v>35</v>
      </c>
    </row>
    <row r="37" spans="1:1" x14ac:dyDescent="0.45">
      <c r="A37" s="8" t="s">
        <v>36</v>
      </c>
    </row>
    <row r="38" spans="1:1" x14ac:dyDescent="0.45">
      <c r="A38" s="5" t="s">
        <v>37</v>
      </c>
    </row>
    <row r="39" spans="1:1" x14ac:dyDescent="0.45">
      <c r="A39" s="8" t="s">
        <v>38</v>
      </c>
    </row>
    <row r="40" spans="1:1" x14ac:dyDescent="0.45">
      <c r="A40" s="5" t="s">
        <v>39</v>
      </c>
    </row>
    <row r="41" spans="1:1" x14ac:dyDescent="0.45">
      <c r="A41" s="8" t="s">
        <v>40</v>
      </c>
    </row>
    <row r="42" spans="1:1" x14ac:dyDescent="0.45">
      <c r="A42" s="5" t="s">
        <v>41</v>
      </c>
    </row>
    <row r="43" spans="1:1" x14ac:dyDescent="0.45">
      <c r="A43" s="8" t="s">
        <v>42</v>
      </c>
    </row>
    <row r="44" spans="1:1" x14ac:dyDescent="0.45">
      <c r="A44" s="5" t="s">
        <v>43</v>
      </c>
    </row>
    <row r="45" spans="1:1" x14ac:dyDescent="0.45">
      <c r="A45" s="8" t="s">
        <v>44</v>
      </c>
    </row>
    <row r="46" spans="1:1" x14ac:dyDescent="0.45">
      <c r="A46" s="5" t="s">
        <v>45</v>
      </c>
    </row>
    <row r="47" spans="1:1" x14ac:dyDescent="0.45">
      <c r="A47" s="8" t="s">
        <v>46</v>
      </c>
    </row>
    <row r="48" spans="1:1" x14ac:dyDescent="0.45">
      <c r="A48" s="5" t="s">
        <v>47</v>
      </c>
    </row>
    <row r="49" spans="1:1" x14ac:dyDescent="0.45">
      <c r="A49" s="8" t="s">
        <v>48</v>
      </c>
    </row>
    <row r="50" spans="1:1" x14ac:dyDescent="0.45">
      <c r="A50" s="5" t="s">
        <v>49</v>
      </c>
    </row>
    <row r="51" spans="1:1" x14ac:dyDescent="0.45">
      <c r="A51" s="8" t="s">
        <v>50</v>
      </c>
    </row>
    <row r="52" spans="1:1" x14ac:dyDescent="0.45">
      <c r="A52" s="5" t="s">
        <v>51</v>
      </c>
    </row>
    <row r="53" spans="1:1" x14ac:dyDescent="0.45">
      <c r="A53" s="8" t="s">
        <v>52</v>
      </c>
    </row>
    <row r="54" spans="1:1" x14ac:dyDescent="0.45">
      <c r="A54" s="5" t="s">
        <v>53</v>
      </c>
    </row>
    <row r="55" spans="1:1" x14ac:dyDescent="0.45">
      <c r="A55" s="8" t="s">
        <v>54</v>
      </c>
    </row>
    <row r="56" spans="1:1" x14ac:dyDescent="0.45">
      <c r="A56" s="5" t="s">
        <v>55</v>
      </c>
    </row>
    <row r="57" spans="1:1" x14ac:dyDescent="0.45">
      <c r="A57" s="8" t="s">
        <v>56</v>
      </c>
    </row>
    <row r="58" spans="1:1" x14ac:dyDescent="0.45">
      <c r="A58" s="5" t="s">
        <v>57</v>
      </c>
    </row>
    <row r="59" spans="1:1" x14ac:dyDescent="0.45">
      <c r="A59" s="8" t="s">
        <v>58</v>
      </c>
    </row>
    <row r="60" spans="1:1" x14ac:dyDescent="0.45">
      <c r="A60" s="5" t="s">
        <v>59</v>
      </c>
    </row>
    <row r="61" spans="1:1" x14ac:dyDescent="0.45">
      <c r="A61" s="8" t="s">
        <v>60</v>
      </c>
    </row>
    <row r="62" spans="1:1" x14ac:dyDescent="0.45">
      <c r="A62" s="5" t="s">
        <v>61</v>
      </c>
    </row>
    <row r="63" spans="1:1" x14ac:dyDescent="0.45">
      <c r="A63" s="8" t="s">
        <v>62</v>
      </c>
    </row>
    <row r="64" spans="1:1" x14ac:dyDescent="0.45">
      <c r="A64" s="5" t="s">
        <v>63</v>
      </c>
    </row>
    <row r="65" spans="1:1" x14ac:dyDescent="0.45">
      <c r="A65" s="8" t="s">
        <v>64</v>
      </c>
    </row>
    <row r="66" spans="1:1" x14ac:dyDescent="0.45">
      <c r="A66" s="5" t="s">
        <v>65</v>
      </c>
    </row>
    <row r="67" spans="1:1" x14ac:dyDescent="0.45">
      <c r="A67" s="8" t="s">
        <v>66</v>
      </c>
    </row>
    <row r="68" spans="1:1" x14ac:dyDescent="0.45">
      <c r="A68" s="5" t="s">
        <v>67</v>
      </c>
    </row>
    <row r="69" spans="1:1" x14ac:dyDescent="0.45">
      <c r="A69" s="8" t="s">
        <v>68</v>
      </c>
    </row>
    <row r="70" spans="1:1" x14ac:dyDescent="0.45">
      <c r="A70" s="5" t="s">
        <v>69</v>
      </c>
    </row>
    <row r="71" spans="1:1" x14ac:dyDescent="0.45">
      <c r="A71" s="8" t="s">
        <v>70</v>
      </c>
    </row>
    <row r="72" spans="1:1" x14ac:dyDescent="0.45">
      <c r="A72" s="5" t="s">
        <v>71</v>
      </c>
    </row>
    <row r="73" spans="1:1" x14ac:dyDescent="0.45">
      <c r="A73" s="8" t="s">
        <v>72</v>
      </c>
    </row>
    <row r="74" spans="1:1" x14ac:dyDescent="0.45">
      <c r="A74" s="5" t="s">
        <v>73</v>
      </c>
    </row>
    <row r="75" spans="1:1" x14ac:dyDescent="0.45">
      <c r="A75" s="8" t="s">
        <v>74</v>
      </c>
    </row>
    <row r="76" spans="1:1" x14ac:dyDescent="0.45">
      <c r="A76" s="5" t="s">
        <v>75</v>
      </c>
    </row>
    <row r="77" spans="1:1" x14ac:dyDescent="0.45">
      <c r="A77" s="8" t="s">
        <v>76</v>
      </c>
    </row>
    <row r="78" spans="1:1" x14ac:dyDescent="0.45">
      <c r="A78" s="5" t="s">
        <v>77</v>
      </c>
    </row>
    <row r="79" spans="1:1" x14ac:dyDescent="0.45">
      <c r="A79" s="8" t="s">
        <v>78</v>
      </c>
    </row>
    <row r="80" spans="1:1" x14ac:dyDescent="0.45">
      <c r="A80" s="5" t="s">
        <v>79</v>
      </c>
    </row>
    <row r="81" spans="1:1" x14ac:dyDescent="0.45">
      <c r="A81" s="8" t="s">
        <v>80</v>
      </c>
    </row>
    <row r="82" spans="1:1" x14ac:dyDescent="0.45">
      <c r="A82" s="5" t="s">
        <v>81</v>
      </c>
    </row>
    <row r="83" spans="1:1" x14ac:dyDescent="0.45">
      <c r="A83" s="8" t="s">
        <v>82</v>
      </c>
    </row>
    <row r="84" spans="1:1" x14ac:dyDescent="0.45">
      <c r="A84" s="5" t="s">
        <v>83</v>
      </c>
    </row>
    <row r="85" spans="1:1" x14ac:dyDescent="0.45">
      <c r="A85" s="8" t="s">
        <v>84</v>
      </c>
    </row>
    <row r="86" spans="1:1" x14ac:dyDescent="0.45">
      <c r="A86" s="5" t="s">
        <v>85</v>
      </c>
    </row>
    <row r="87" spans="1:1" x14ac:dyDescent="0.45">
      <c r="A87" s="8" t="s">
        <v>86</v>
      </c>
    </row>
    <row r="88" spans="1:1" x14ac:dyDescent="0.45">
      <c r="A88" s="5" t="s">
        <v>87</v>
      </c>
    </row>
    <row r="89" spans="1:1" x14ac:dyDescent="0.45">
      <c r="A89" s="8" t="s">
        <v>88</v>
      </c>
    </row>
    <row r="90" spans="1:1" x14ac:dyDescent="0.45">
      <c r="A90" s="5" t="s">
        <v>89</v>
      </c>
    </row>
    <row r="91" spans="1:1" x14ac:dyDescent="0.45">
      <c r="A91" s="8" t="s">
        <v>90</v>
      </c>
    </row>
    <row r="92" spans="1:1" x14ac:dyDescent="0.45">
      <c r="A92" s="5" t="s">
        <v>91</v>
      </c>
    </row>
    <row r="93" spans="1:1" x14ac:dyDescent="0.45">
      <c r="A93" s="8" t="s">
        <v>92</v>
      </c>
    </row>
    <row r="94" spans="1:1" x14ac:dyDescent="0.45">
      <c r="A94" s="5" t="s">
        <v>93</v>
      </c>
    </row>
    <row r="95" spans="1:1" x14ac:dyDescent="0.45">
      <c r="A95" s="8" t="s">
        <v>94</v>
      </c>
    </row>
    <row r="96" spans="1:1" x14ac:dyDescent="0.45">
      <c r="A96" s="5" t="s">
        <v>95</v>
      </c>
    </row>
    <row r="97" spans="1:1" x14ac:dyDescent="0.45">
      <c r="A97" s="8" t="s">
        <v>96</v>
      </c>
    </row>
    <row r="98" spans="1:1" x14ac:dyDescent="0.45">
      <c r="A98" s="5" t="s">
        <v>97</v>
      </c>
    </row>
    <row r="99" spans="1:1" x14ac:dyDescent="0.45">
      <c r="A99" s="8" t="s">
        <v>98</v>
      </c>
    </row>
    <row r="100" spans="1:1" x14ac:dyDescent="0.45">
      <c r="A100" s="5" t="s">
        <v>99</v>
      </c>
    </row>
    <row r="101" spans="1:1" x14ac:dyDescent="0.45">
      <c r="A101" s="8" t="s">
        <v>100</v>
      </c>
    </row>
    <row r="102" spans="1:1" x14ac:dyDescent="0.45">
      <c r="A102" s="5" t="s">
        <v>101</v>
      </c>
    </row>
    <row r="103" spans="1:1" x14ac:dyDescent="0.45">
      <c r="A103" s="8" t="s">
        <v>102</v>
      </c>
    </row>
    <row r="104" spans="1:1" x14ac:dyDescent="0.45">
      <c r="A104" s="5" t="s">
        <v>103</v>
      </c>
    </row>
    <row r="105" spans="1:1" x14ac:dyDescent="0.45">
      <c r="A105" s="8" t="s">
        <v>104</v>
      </c>
    </row>
    <row r="106" spans="1:1" x14ac:dyDescent="0.45">
      <c r="A106" s="5" t="s">
        <v>105</v>
      </c>
    </row>
    <row r="107" spans="1:1" x14ac:dyDescent="0.45">
      <c r="A107" s="8" t="s">
        <v>106</v>
      </c>
    </row>
    <row r="108" spans="1:1" x14ac:dyDescent="0.45">
      <c r="A108" s="5" t="s">
        <v>107</v>
      </c>
    </row>
    <row r="109" spans="1:1" x14ac:dyDescent="0.45">
      <c r="A109" s="8" t="s">
        <v>108</v>
      </c>
    </row>
    <row r="110" spans="1:1" x14ac:dyDescent="0.45">
      <c r="A110" s="5" t="s">
        <v>109</v>
      </c>
    </row>
    <row r="111" spans="1:1" x14ac:dyDescent="0.45">
      <c r="A111" s="8" t="s">
        <v>110</v>
      </c>
    </row>
    <row r="112" spans="1:1" x14ac:dyDescent="0.45">
      <c r="A112" s="5" t="s">
        <v>111</v>
      </c>
    </row>
    <row r="113" spans="1:1" x14ac:dyDescent="0.45">
      <c r="A113" s="8" t="s">
        <v>112</v>
      </c>
    </row>
    <row r="114" spans="1:1" x14ac:dyDescent="0.45">
      <c r="A114" s="5" t="s">
        <v>113</v>
      </c>
    </row>
    <row r="115" spans="1:1" x14ac:dyDescent="0.45">
      <c r="A115" s="8" t="s">
        <v>114</v>
      </c>
    </row>
    <row r="116" spans="1:1" x14ac:dyDescent="0.45">
      <c r="A116" s="5" t="s">
        <v>115</v>
      </c>
    </row>
    <row r="117" spans="1:1" x14ac:dyDescent="0.45">
      <c r="A117" s="8" t="s">
        <v>116</v>
      </c>
    </row>
    <row r="118" spans="1:1" x14ac:dyDescent="0.45">
      <c r="A118" s="5" t="s">
        <v>117</v>
      </c>
    </row>
    <row r="119" spans="1:1" x14ac:dyDescent="0.45">
      <c r="A119" s="8" t="s">
        <v>118</v>
      </c>
    </row>
    <row r="120" spans="1:1" x14ac:dyDescent="0.45">
      <c r="A120" s="5" t="s">
        <v>119</v>
      </c>
    </row>
    <row r="121" spans="1:1" x14ac:dyDescent="0.45">
      <c r="A121" s="8" t="s">
        <v>120</v>
      </c>
    </row>
    <row r="122" spans="1:1" x14ac:dyDescent="0.45">
      <c r="A122" s="5" t="s">
        <v>121</v>
      </c>
    </row>
    <row r="123" spans="1:1" x14ac:dyDescent="0.45">
      <c r="A123" s="8" t="s">
        <v>122</v>
      </c>
    </row>
    <row r="124" spans="1:1" x14ac:dyDescent="0.45">
      <c r="A124" s="5" t="s">
        <v>123</v>
      </c>
    </row>
    <row r="125" spans="1:1" x14ac:dyDescent="0.45">
      <c r="A125" s="8" t="s">
        <v>124</v>
      </c>
    </row>
    <row r="126" spans="1:1" x14ac:dyDescent="0.45">
      <c r="A126" s="5" t="s">
        <v>125</v>
      </c>
    </row>
    <row r="127" spans="1:1" x14ac:dyDescent="0.45">
      <c r="A127" s="8" t="s">
        <v>126</v>
      </c>
    </row>
    <row r="128" spans="1:1" x14ac:dyDescent="0.45">
      <c r="A128" s="5" t="s">
        <v>127</v>
      </c>
    </row>
    <row r="129" spans="1:1" x14ac:dyDescent="0.45">
      <c r="A129" s="8" t="s">
        <v>128</v>
      </c>
    </row>
    <row r="130" spans="1:1" x14ac:dyDescent="0.45">
      <c r="A130" s="5" t="s">
        <v>129</v>
      </c>
    </row>
    <row r="131" spans="1:1" x14ac:dyDescent="0.45">
      <c r="A131" s="8" t="s">
        <v>130</v>
      </c>
    </row>
    <row r="132" spans="1:1" x14ac:dyDescent="0.45">
      <c r="A132" s="5" t="s">
        <v>131</v>
      </c>
    </row>
    <row r="133" spans="1:1" x14ac:dyDescent="0.45">
      <c r="A133" s="8" t="s">
        <v>132</v>
      </c>
    </row>
    <row r="134" spans="1:1" x14ac:dyDescent="0.45">
      <c r="A134" s="5" t="s">
        <v>133</v>
      </c>
    </row>
    <row r="135" spans="1:1" x14ac:dyDescent="0.45">
      <c r="A135" s="8" t="s">
        <v>134</v>
      </c>
    </row>
    <row r="136" spans="1:1" x14ac:dyDescent="0.45">
      <c r="A136" s="5" t="s">
        <v>135</v>
      </c>
    </row>
    <row r="137" spans="1:1" x14ac:dyDescent="0.45">
      <c r="A137" s="8" t="s">
        <v>136</v>
      </c>
    </row>
    <row r="138" spans="1:1" x14ac:dyDescent="0.45">
      <c r="A138" s="5" t="s">
        <v>137</v>
      </c>
    </row>
    <row r="139" spans="1:1" x14ac:dyDescent="0.45">
      <c r="A139" s="8" t="s">
        <v>138</v>
      </c>
    </row>
    <row r="140" spans="1:1" x14ac:dyDescent="0.45">
      <c r="A140" s="5" t="s">
        <v>139</v>
      </c>
    </row>
    <row r="141" spans="1:1" x14ac:dyDescent="0.45">
      <c r="A141" s="8" t="s">
        <v>140</v>
      </c>
    </row>
    <row r="142" spans="1:1" x14ac:dyDescent="0.45">
      <c r="A142" s="5" t="s">
        <v>141</v>
      </c>
    </row>
    <row r="143" spans="1:1" x14ac:dyDescent="0.45">
      <c r="A143" s="8" t="s">
        <v>142</v>
      </c>
    </row>
    <row r="144" spans="1:1" x14ac:dyDescent="0.45">
      <c r="A144" s="5" t="s">
        <v>143</v>
      </c>
    </row>
    <row r="145" spans="1:1" x14ac:dyDescent="0.45">
      <c r="A145" s="8" t="s">
        <v>144</v>
      </c>
    </row>
    <row r="146" spans="1:1" x14ac:dyDescent="0.45">
      <c r="A146" s="5" t="s">
        <v>145</v>
      </c>
    </row>
    <row r="147" spans="1:1" x14ac:dyDescent="0.45">
      <c r="A147" s="8" t="s">
        <v>146</v>
      </c>
    </row>
    <row r="148" spans="1:1" x14ac:dyDescent="0.45">
      <c r="A148" s="5" t="s">
        <v>147</v>
      </c>
    </row>
    <row r="149" spans="1:1" x14ac:dyDescent="0.45">
      <c r="A149" s="8" t="s">
        <v>148</v>
      </c>
    </row>
    <row r="150" spans="1:1" x14ac:dyDescent="0.45">
      <c r="A150" s="5" t="s">
        <v>149</v>
      </c>
    </row>
    <row r="151" spans="1:1" x14ac:dyDescent="0.45">
      <c r="A151" s="8" t="s">
        <v>150</v>
      </c>
    </row>
    <row r="152" spans="1:1" x14ac:dyDescent="0.45">
      <c r="A152" s="5" t="s">
        <v>151</v>
      </c>
    </row>
    <row r="153" spans="1:1" x14ac:dyDescent="0.45">
      <c r="A153" s="8" t="s">
        <v>152</v>
      </c>
    </row>
    <row r="154" spans="1:1" x14ac:dyDescent="0.45">
      <c r="A154" s="5" t="s">
        <v>153</v>
      </c>
    </row>
    <row r="155" spans="1:1" x14ac:dyDescent="0.45">
      <c r="A155" s="8" t="s">
        <v>154</v>
      </c>
    </row>
    <row r="156" spans="1:1" x14ac:dyDescent="0.45">
      <c r="A156" s="5" t="s">
        <v>155</v>
      </c>
    </row>
    <row r="157" spans="1:1" x14ac:dyDescent="0.45">
      <c r="A157" s="8" t="s">
        <v>156</v>
      </c>
    </row>
    <row r="158" spans="1:1" x14ac:dyDescent="0.45">
      <c r="A158" s="5" t="s">
        <v>157</v>
      </c>
    </row>
    <row r="159" spans="1:1" x14ac:dyDescent="0.45">
      <c r="A159" s="8" t="s">
        <v>158</v>
      </c>
    </row>
    <row r="160" spans="1:1" x14ac:dyDescent="0.45">
      <c r="A160" s="5" t="s">
        <v>159</v>
      </c>
    </row>
  </sheetData>
  <autoFilter ref="A1:A160" xr:uid="{5AB6DA91-E854-48DD-95B0-9058AD94A0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2899-9EF5-4423-A5FE-D8ACB75FA28F}">
  <dimension ref="A1:F56"/>
  <sheetViews>
    <sheetView workbookViewId="0"/>
  </sheetViews>
  <sheetFormatPr defaultRowHeight="11.65" x14ac:dyDescent="0.35"/>
  <cols>
    <col min="1" max="1" width="17.3984375" style="4" bestFit="1" customWidth="1"/>
    <col min="2" max="2" width="19.53125" style="4" bestFit="1" customWidth="1"/>
    <col min="3" max="3" width="8.73046875" style="4" bestFit="1" customWidth="1"/>
    <col min="4" max="6" width="15.86328125" style="4" bestFit="1" customWidth="1"/>
    <col min="7" max="16384" width="9.06640625" style="4"/>
  </cols>
  <sheetData>
    <row r="1" spans="1:6" x14ac:dyDescent="0.35">
      <c r="A1" s="2" t="s">
        <v>160</v>
      </c>
      <c r="B1" s="3" t="s">
        <v>161</v>
      </c>
      <c r="C1" s="3" t="s">
        <v>162</v>
      </c>
      <c r="D1" s="3" t="s">
        <v>163</v>
      </c>
      <c r="E1" s="3" t="s">
        <v>164</v>
      </c>
      <c r="F1" s="3" t="s">
        <v>165</v>
      </c>
    </row>
    <row r="2" spans="1:6" x14ac:dyDescent="0.35">
      <c r="A2" s="5" t="s">
        <v>166</v>
      </c>
      <c r="B2" s="6" t="s">
        <v>167</v>
      </c>
      <c r="C2" s="7" t="s">
        <v>168</v>
      </c>
      <c r="D2" s="7" t="s">
        <v>169</v>
      </c>
      <c r="E2" s="7" t="s">
        <v>170</v>
      </c>
      <c r="F2" s="7"/>
    </row>
    <row r="3" spans="1:6" x14ac:dyDescent="0.35">
      <c r="A3" s="8" t="s">
        <v>171</v>
      </c>
      <c r="B3" s="9" t="s">
        <v>172</v>
      </c>
      <c r="C3" s="10" t="s">
        <v>173</v>
      </c>
      <c r="D3" s="10" t="s">
        <v>169</v>
      </c>
      <c r="E3" s="10" t="s">
        <v>174</v>
      </c>
      <c r="F3" s="11">
        <v>46326</v>
      </c>
    </row>
    <row r="4" spans="1:6" x14ac:dyDescent="0.35">
      <c r="A4" s="5" t="s">
        <v>175</v>
      </c>
      <c r="B4" s="6" t="s">
        <v>176</v>
      </c>
      <c r="C4" s="7" t="s">
        <v>177</v>
      </c>
      <c r="D4" s="7" t="s">
        <v>169</v>
      </c>
      <c r="E4" s="7" t="s">
        <v>170</v>
      </c>
      <c r="F4" s="7"/>
    </row>
    <row r="5" spans="1:6" x14ac:dyDescent="0.35">
      <c r="A5" s="8" t="s">
        <v>178</v>
      </c>
      <c r="B5" s="9" t="s">
        <v>179</v>
      </c>
      <c r="C5" s="10" t="s">
        <v>180</v>
      </c>
      <c r="D5" s="10" t="s">
        <v>169</v>
      </c>
      <c r="E5" s="10" t="s">
        <v>170</v>
      </c>
      <c r="F5" s="10"/>
    </row>
    <row r="6" spans="1:6" x14ac:dyDescent="0.35">
      <c r="A6" s="5" t="s">
        <v>178</v>
      </c>
      <c r="B6" s="6" t="s">
        <v>181</v>
      </c>
      <c r="C6" s="7" t="s">
        <v>182</v>
      </c>
      <c r="D6" s="7" t="s">
        <v>169</v>
      </c>
      <c r="E6" s="7" t="s">
        <v>170</v>
      </c>
      <c r="F6" s="7"/>
    </row>
    <row r="7" spans="1:6" x14ac:dyDescent="0.35">
      <c r="A7" s="8" t="s">
        <v>183</v>
      </c>
      <c r="B7" s="9" t="s">
        <v>184</v>
      </c>
      <c r="C7" s="10" t="s">
        <v>185</v>
      </c>
      <c r="D7" s="10" t="s">
        <v>186</v>
      </c>
      <c r="E7" s="10" t="s">
        <v>170</v>
      </c>
      <c r="F7" s="10"/>
    </row>
    <row r="8" spans="1:6" x14ac:dyDescent="0.35">
      <c r="A8" s="5" t="s">
        <v>187</v>
      </c>
      <c r="B8" s="6" t="s">
        <v>188</v>
      </c>
      <c r="C8" s="7" t="s">
        <v>189</v>
      </c>
      <c r="D8" s="7" t="s">
        <v>186</v>
      </c>
      <c r="E8" s="7" t="s">
        <v>170</v>
      </c>
      <c r="F8" s="7"/>
    </row>
    <row r="9" spans="1:6" x14ac:dyDescent="0.35">
      <c r="A9" s="8" t="s">
        <v>190</v>
      </c>
      <c r="B9" s="9" t="s">
        <v>191</v>
      </c>
      <c r="C9" s="10" t="s">
        <v>192</v>
      </c>
      <c r="D9" s="10" t="s">
        <v>186</v>
      </c>
      <c r="E9" s="10" t="s">
        <v>170</v>
      </c>
      <c r="F9" s="10"/>
    </row>
    <row r="10" spans="1:6" x14ac:dyDescent="0.35">
      <c r="A10" s="5" t="s">
        <v>193</v>
      </c>
      <c r="B10" s="6" t="s">
        <v>194</v>
      </c>
      <c r="C10" s="7" t="s">
        <v>195</v>
      </c>
      <c r="D10" s="7" t="s">
        <v>186</v>
      </c>
      <c r="E10" s="7" t="s">
        <v>170</v>
      </c>
      <c r="F10" s="7"/>
    </row>
    <row r="11" spans="1:6" x14ac:dyDescent="0.35">
      <c r="A11" s="8" t="s">
        <v>196</v>
      </c>
      <c r="B11" s="9" t="s">
        <v>197</v>
      </c>
      <c r="C11" s="10" t="s">
        <v>198</v>
      </c>
      <c r="D11" s="10" t="s">
        <v>186</v>
      </c>
      <c r="E11" s="10" t="s">
        <v>170</v>
      </c>
      <c r="F11" s="10"/>
    </row>
    <row r="12" spans="1:6" x14ac:dyDescent="0.35">
      <c r="A12" s="5" t="s">
        <v>199</v>
      </c>
      <c r="B12" s="6" t="s">
        <v>200</v>
      </c>
      <c r="C12" s="7" t="s">
        <v>201</v>
      </c>
      <c r="D12" s="7" t="s">
        <v>202</v>
      </c>
      <c r="E12" s="7" t="s">
        <v>170</v>
      </c>
      <c r="F12" s="7"/>
    </row>
    <row r="13" spans="1:6" x14ac:dyDescent="0.35">
      <c r="A13" s="8" t="s">
        <v>203</v>
      </c>
      <c r="B13" s="9" t="s">
        <v>204</v>
      </c>
      <c r="C13" s="10" t="s">
        <v>205</v>
      </c>
      <c r="D13" s="10" t="s">
        <v>202</v>
      </c>
      <c r="E13" s="10" t="s">
        <v>170</v>
      </c>
      <c r="F13" s="10"/>
    </row>
    <row r="14" spans="1:6" x14ac:dyDescent="0.35">
      <c r="A14" s="5" t="s">
        <v>206</v>
      </c>
      <c r="B14" s="6" t="s">
        <v>207</v>
      </c>
      <c r="C14" s="7" t="s">
        <v>208</v>
      </c>
      <c r="D14" s="7" t="s">
        <v>202</v>
      </c>
      <c r="E14" s="7" t="s">
        <v>170</v>
      </c>
      <c r="F14" s="7"/>
    </row>
    <row r="15" spans="1:6" x14ac:dyDescent="0.35">
      <c r="A15" s="8" t="s">
        <v>209</v>
      </c>
      <c r="B15" s="9" t="s">
        <v>210</v>
      </c>
      <c r="C15" s="10" t="s">
        <v>211</v>
      </c>
      <c r="D15" s="10" t="s">
        <v>202</v>
      </c>
      <c r="E15" s="10" t="s">
        <v>174</v>
      </c>
      <c r="F15" s="11">
        <v>46281</v>
      </c>
    </row>
    <row r="16" spans="1:6" x14ac:dyDescent="0.35">
      <c r="A16" s="5" t="s">
        <v>212</v>
      </c>
      <c r="B16" s="6" t="s">
        <v>213</v>
      </c>
      <c r="C16" s="7" t="s">
        <v>214</v>
      </c>
      <c r="D16" s="7" t="s">
        <v>202</v>
      </c>
      <c r="E16" s="7" t="s">
        <v>170</v>
      </c>
      <c r="F16" s="7"/>
    </row>
    <row r="17" spans="1:6" x14ac:dyDescent="0.35">
      <c r="A17" s="8" t="s">
        <v>215</v>
      </c>
      <c r="B17" s="9" t="s">
        <v>216</v>
      </c>
      <c r="C17" s="10" t="s">
        <v>217</v>
      </c>
      <c r="D17" s="10" t="s">
        <v>202</v>
      </c>
      <c r="E17" s="10" t="s">
        <v>170</v>
      </c>
      <c r="F17" s="10"/>
    </row>
    <row r="18" spans="1:6" x14ac:dyDescent="0.35">
      <c r="A18" s="5" t="s">
        <v>218</v>
      </c>
      <c r="B18" s="6" t="s">
        <v>219</v>
      </c>
      <c r="C18" s="7" t="s">
        <v>220</v>
      </c>
      <c r="D18" s="7" t="s">
        <v>202</v>
      </c>
      <c r="E18" s="7" t="s">
        <v>170</v>
      </c>
      <c r="F18" s="7"/>
    </row>
    <row r="19" spans="1:6" x14ac:dyDescent="0.35">
      <c r="A19" s="8" t="s">
        <v>221</v>
      </c>
      <c r="B19" s="9" t="s">
        <v>222</v>
      </c>
      <c r="C19" s="10" t="s">
        <v>223</v>
      </c>
      <c r="D19" s="10" t="s">
        <v>202</v>
      </c>
      <c r="E19" s="10" t="s">
        <v>170</v>
      </c>
      <c r="F19" s="10"/>
    </row>
    <row r="20" spans="1:6" x14ac:dyDescent="0.35">
      <c r="A20" s="5" t="s">
        <v>224</v>
      </c>
      <c r="B20" s="6" t="s">
        <v>225</v>
      </c>
      <c r="C20" s="7" t="s">
        <v>226</v>
      </c>
      <c r="D20" s="7" t="s">
        <v>202</v>
      </c>
      <c r="E20" s="7" t="s">
        <v>170</v>
      </c>
      <c r="F20" s="7"/>
    </row>
    <row r="21" spans="1:6" x14ac:dyDescent="0.35">
      <c r="A21" s="8" t="s">
        <v>227</v>
      </c>
      <c r="B21" s="9" t="s">
        <v>228</v>
      </c>
      <c r="C21" s="10" t="s">
        <v>229</v>
      </c>
      <c r="D21" s="10" t="s">
        <v>202</v>
      </c>
      <c r="E21" s="10" t="s">
        <v>170</v>
      </c>
      <c r="F21" s="10"/>
    </row>
    <row r="22" spans="1:6" x14ac:dyDescent="0.35">
      <c r="A22" s="5" t="s">
        <v>230</v>
      </c>
      <c r="B22" s="6" t="s">
        <v>231</v>
      </c>
      <c r="C22" s="7" t="s">
        <v>232</v>
      </c>
      <c r="D22" s="7" t="s">
        <v>202</v>
      </c>
      <c r="E22" s="7" t="s">
        <v>170</v>
      </c>
      <c r="F22" s="7"/>
    </row>
    <row r="23" spans="1:6" x14ac:dyDescent="0.35">
      <c r="A23" s="8" t="s">
        <v>233</v>
      </c>
      <c r="B23" s="9" t="s">
        <v>234</v>
      </c>
      <c r="C23" s="10" t="s">
        <v>235</v>
      </c>
      <c r="D23" s="10" t="s">
        <v>202</v>
      </c>
      <c r="E23" s="10" t="s">
        <v>170</v>
      </c>
      <c r="F23" s="10"/>
    </row>
    <row r="24" spans="1:6" x14ac:dyDescent="0.35">
      <c r="A24" s="5" t="s">
        <v>236</v>
      </c>
      <c r="B24" s="6" t="s">
        <v>237</v>
      </c>
      <c r="C24" s="7" t="s">
        <v>238</v>
      </c>
      <c r="D24" s="7" t="s">
        <v>202</v>
      </c>
      <c r="E24" s="7" t="s">
        <v>170</v>
      </c>
      <c r="F24" s="7"/>
    </row>
    <row r="25" spans="1:6" x14ac:dyDescent="0.35">
      <c r="A25" s="8" t="s">
        <v>239</v>
      </c>
      <c r="B25" s="9" t="s">
        <v>240</v>
      </c>
      <c r="C25" s="10" t="s">
        <v>241</v>
      </c>
      <c r="D25" s="10" t="s">
        <v>202</v>
      </c>
      <c r="E25" s="10" t="s">
        <v>170</v>
      </c>
      <c r="F25" s="10"/>
    </row>
    <row r="26" spans="1:6" x14ac:dyDescent="0.35">
      <c r="A26" s="5" t="s">
        <v>242</v>
      </c>
      <c r="B26" s="6" t="s">
        <v>243</v>
      </c>
      <c r="C26" s="7" t="s">
        <v>244</v>
      </c>
      <c r="D26" s="7" t="s">
        <v>202</v>
      </c>
      <c r="E26" s="7" t="s">
        <v>170</v>
      </c>
      <c r="F26" s="7"/>
    </row>
    <row r="27" spans="1:6" x14ac:dyDescent="0.35">
      <c r="A27" s="8" t="s">
        <v>245</v>
      </c>
      <c r="B27" s="9" t="s">
        <v>246</v>
      </c>
      <c r="C27" s="10" t="s">
        <v>247</v>
      </c>
      <c r="D27" s="10" t="s">
        <v>202</v>
      </c>
      <c r="E27" s="10" t="s">
        <v>170</v>
      </c>
      <c r="F27" s="10"/>
    </row>
    <row r="28" spans="1:6" x14ac:dyDescent="0.35">
      <c r="A28" s="5" t="s">
        <v>248</v>
      </c>
      <c r="B28" s="6" t="s">
        <v>249</v>
      </c>
      <c r="C28" s="7" t="s">
        <v>247</v>
      </c>
      <c r="D28" s="7" t="s">
        <v>202</v>
      </c>
      <c r="E28" s="7" t="s">
        <v>170</v>
      </c>
      <c r="F28" s="7"/>
    </row>
    <row r="29" spans="1:6" x14ac:dyDescent="0.35">
      <c r="A29" s="8" t="s">
        <v>250</v>
      </c>
      <c r="B29" s="9" t="s">
        <v>251</v>
      </c>
      <c r="C29" s="10" t="s">
        <v>252</v>
      </c>
      <c r="D29" s="10" t="s">
        <v>202</v>
      </c>
      <c r="E29" s="10" t="s">
        <v>170</v>
      </c>
      <c r="F29" s="10"/>
    </row>
    <row r="30" spans="1:6" x14ac:dyDescent="0.35">
      <c r="A30" s="5" t="s">
        <v>253</v>
      </c>
      <c r="B30" s="6" t="s">
        <v>254</v>
      </c>
      <c r="C30" s="7" t="s">
        <v>255</v>
      </c>
      <c r="D30" s="7" t="s">
        <v>202</v>
      </c>
      <c r="E30" s="7" t="s">
        <v>170</v>
      </c>
      <c r="F30" s="7"/>
    </row>
    <row r="31" spans="1:6" x14ac:dyDescent="0.35">
      <c r="A31" s="8" t="s">
        <v>256</v>
      </c>
      <c r="B31" s="9" t="s">
        <v>257</v>
      </c>
      <c r="C31" s="10" t="s">
        <v>258</v>
      </c>
      <c r="D31" s="10" t="s">
        <v>202</v>
      </c>
      <c r="E31" s="10" t="s">
        <v>174</v>
      </c>
      <c r="F31" s="11">
        <v>46311</v>
      </c>
    </row>
    <row r="32" spans="1:6" x14ac:dyDescent="0.35">
      <c r="A32" s="5" t="s">
        <v>259</v>
      </c>
      <c r="B32" s="6" t="s">
        <v>260</v>
      </c>
      <c r="C32" s="7" t="s">
        <v>261</v>
      </c>
      <c r="D32" s="7" t="s">
        <v>202</v>
      </c>
      <c r="E32" s="7" t="s">
        <v>174</v>
      </c>
      <c r="F32" s="12">
        <v>46272</v>
      </c>
    </row>
    <row r="33" spans="1:6" x14ac:dyDescent="0.35">
      <c r="A33" s="8" t="s">
        <v>262</v>
      </c>
      <c r="B33" s="9" t="s">
        <v>263</v>
      </c>
      <c r="C33" s="10" t="s">
        <v>264</v>
      </c>
      <c r="D33" s="10" t="s">
        <v>202</v>
      </c>
      <c r="E33" s="10" t="s">
        <v>170</v>
      </c>
      <c r="F33" s="10"/>
    </row>
    <row r="34" spans="1:6" x14ac:dyDescent="0.35">
      <c r="A34" s="5" t="s">
        <v>265</v>
      </c>
      <c r="B34" s="6" t="s">
        <v>266</v>
      </c>
      <c r="C34" s="7" t="s">
        <v>267</v>
      </c>
      <c r="D34" s="7" t="s">
        <v>202</v>
      </c>
      <c r="E34" s="7" t="s">
        <v>170</v>
      </c>
      <c r="F34" s="7"/>
    </row>
    <row r="35" spans="1:6" x14ac:dyDescent="0.35">
      <c r="A35" s="8" t="s">
        <v>268</v>
      </c>
      <c r="B35" s="9" t="s">
        <v>269</v>
      </c>
      <c r="C35" s="10" t="s">
        <v>270</v>
      </c>
      <c r="D35" s="10" t="s">
        <v>202</v>
      </c>
      <c r="E35" s="10" t="s">
        <v>170</v>
      </c>
      <c r="F35" s="10"/>
    </row>
    <row r="36" spans="1:6" x14ac:dyDescent="0.35">
      <c r="A36" s="5" t="s">
        <v>271</v>
      </c>
      <c r="B36" s="6" t="s">
        <v>272</v>
      </c>
      <c r="C36" s="7" t="s">
        <v>273</v>
      </c>
      <c r="D36" s="7" t="s">
        <v>202</v>
      </c>
      <c r="E36" s="7" t="s">
        <v>170</v>
      </c>
      <c r="F36" s="7"/>
    </row>
    <row r="37" spans="1:6" x14ac:dyDescent="0.35">
      <c r="A37" s="8" t="s">
        <v>274</v>
      </c>
      <c r="B37" s="9" t="s">
        <v>275</v>
      </c>
      <c r="C37" s="10" t="s">
        <v>276</v>
      </c>
      <c r="D37" s="10" t="s">
        <v>202</v>
      </c>
      <c r="E37" s="10" t="s">
        <v>170</v>
      </c>
      <c r="F37" s="10"/>
    </row>
    <row r="38" spans="1:6" x14ac:dyDescent="0.35">
      <c r="A38" s="5" t="s">
        <v>277</v>
      </c>
      <c r="B38" s="6" t="s">
        <v>278</v>
      </c>
      <c r="C38" s="7" t="s">
        <v>279</v>
      </c>
      <c r="D38" s="7" t="s">
        <v>202</v>
      </c>
      <c r="E38" s="7" t="s">
        <v>174</v>
      </c>
      <c r="F38" s="12">
        <v>46295</v>
      </c>
    </row>
    <row r="39" spans="1:6" x14ac:dyDescent="0.35">
      <c r="A39" s="8" t="s">
        <v>280</v>
      </c>
      <c r="B39" s="9" t="s">
        <v>281</v>
      </c>
      <c r="C39" s="10" t="s">
        <v>282</v>
      </c>
      <c r="D39" s="10" t="s">
        <v>283</v>
      </c>
      <c r="E39" s="10" t="s">
        <v>170</v>
      </c>
      <c r="F39" s="10"/>
    </row>
    <row r="40" spans="1:6" x14ac:dyDescent="0.35">
      <c r="A40" s="5" t="s">
        <v>284</v>
      </c>
      <c r="B40" s="6" t="s">
        <v>285</v>
      </c>
      <c r="C40" s="7" t="s">
        <v>286</v>
      </c>
      <c r="D40" s="7" t="s">
        <v>283</v>
      </c>
      <c r="E40" s="7" t="s">
        <v>170</v>
      </c>
      <c r="F40" s="7"/>
    </row>
    <row r="41" spans="1:6" x14ac:dyDescent="0.35">
      <c r="A41" s="8" t="s">
        <v>287</v>
      </c>
      <c r="B41" s="9" t="s">
        <v>288</v>
      </c>
      <c r="C41" s="10" t="s">
        <v>289</v>
      </c>
      <c r="D41" s="10" t="s">
        <v>283</v>
      </c>
      <c r="E41" s="10" t="s">
        <v>170</v>
      </c>
      <c r="F41" s="10"/>
    </row>
    <row r="42" spans="1:6" x14ac:dyDescent="0.35">
      <c r="A42" s="5" t="s">
        <v>290</v>
      </c>
      <c r="B42" s="6" t="s">
        <v>291</v>
      </c>
      <c r="C42" s="7" t="s">
        <v>292</v>
      </c>
      <c r="D42" s="7" t="s">
        <v>283</v>
      </c>
      <c r="E42" s="7" t="s">
        <v>174</v>
      </c>
      <c r="F42" s="12">
        <v>46295</v>
      </c>
    </row>
    <row r="43" spans="1:6" x14ac:dyDescent="0.35">
      <c r="A43" s="8" t="s">
        <v>293</v>
      </c>
      <c r="B43" s="9" t="s">
        <v>294</v>
      </c>
      <c r="C43" s="10" t="s">
        <v>295</v>
      </c>
      <c r="D43" s="10" t="s">
        <v>283</v>
      </c>
      <c r="E43" s="10" t="s">
        <v>170</v>
      </c>
      <c r="F43" s="10"/>
    </row>
    <row r="44" spans="1:6" x14ac:dyDescent="0.35">
      <c r="A44" s="5" t="s">
        <v>296</v>
      </c>
      <c r="B44" s="6" t="s">
        <v>297</v>
      </c>
      <c r="C44" s="7" t="s">
        <v>298</v>
      </c>
      <c r="D44" s="7" t="s">
        <v>283</v>
      </c>
      <c r="E44" s="7" t="s">
        <v>170</v>
      </c>
      <c r="F44" s="7"/>
    </row>
    <row r="45" spans="1:6" x14ac:dyDescent="0.35">
      <c r="A45" s="8" t="s">
        <v>299</v>
      </c>
      <c r="B45" s="9" t="s">
        <v>231</v>
      </c>
      <c r="C45" s="10" t="s">
        <v>300</v>
      </c>
      <c r="D45" s="10" t="s">
        <v>283</v>
      </c>
      <c r="E45" s="10" t="s">
        <v>170</v>
      </c>
      <c r="F45" s="10"/>
    </row>
    <row r="46" spans="1:6" x14ac:dyDescent="0.35">
      <c r="A46" s="5" t="s">
        <v>301</v>
      </c>
      <c r="B46" s="6" t="s">
        <v>302</v>
      </c>
      <c r="C46" s="7" t="s">
        <v>303</v>
      </c>
      <c r="D46" s="7" t="s">
        <v>283</v>
      </c>
      <c r="E46" s="7" t="s">
        <v>170</v>
      </c>
      <c r="F46" s="7"/>
    </row>
    <row r="47" spans="1:6" x14ac:dyDescent="0.35">
      <c r="A47" s="8" t="s">
        <v>304</v>
      </c>
      <c r="B47" s="9" t="s">
        <v>305</v>
      </c>
      <c r="C47" s="10" t="s">
        <v>267</v>
      </c>
      <c r="D47" s="10" t="s">
        <v>283</v>
      </c>
      <c r="E47" s="10" t="s">
        <v>174</v>
      </c>
      <c r="F47" s="11">
        <v>46295</v>
      </c>
    </row>
    <row r="48" spans="1:6" x14ac:dyDescent="0.35">
      <c r="A48" s="5" t="s">
        <v>306</v>
      </c>
      <c r="B48" s="6" t="s">
        <v>307</v>
      </c>
      <c r="C48" s="7" t="s">
        <v>308</v>
      </c>
      <c r="D48" s="7" t="s">
        <v>283</v>
      </c>
      <c r="E48" s="7" t="s">
        <v>170</v>
      </c>
      <c r="F48" s="7"/>
    </row>
    <row r="49" spans="1:6" x14ac:dyDescent="0.35">
      <c r="A49" s="8" t="s">
        <v>309</v>
      </c>
      <c r="B49" s="9" t="s">
        <v>310</v>
      </c>
      <c r="C49" s="10" t="s">
        <v>311</v>
      </c>
      <c r="D49" s="10" t="s">
        <v>283</v>
      </c>
      <c r="E49" s="10" t="s">
        <v>170</v>
      </c>
      <c r="F49" s="10"/>
    </row>
    <row r="50" spans="1:6" x14ac:dyDescent="0.35">
      <c r="A50" s="5" t="s">
        <v>312</v>
      </c>
      <c r="B50" s="6" t="s">
        <v>313</v>
      </c>
      <c r="C50" s="7" t="s">
        <v>314</v>
      </c>
      <c r="D50" s="7" t="s">
        <v>315</v>
      </c>
      <c r="E50" s="7" t="s">
        <v>170</v>
      </c>
      <c r="F50" s="7"/>
    </row>
    <row r="51" spans="1:6" x14ac:dyDescent="0.35">
      <c r="A51" s="8" t="s">
        <v>316</v>
      </c>
      <c r="B51" s="9" t="s">
        <v>317</v>
      </c>
      <c r="C51" s="10" t="s">
        <v>318</v>
      </c>
      <c r="D51" s="10" t="s">
        <v>315</v>
      </c>
      <c r="E51" s="10" t="s">
        <v>170</v>
      </c>
      <c r="F51" s="10"/>
    </row>
    <row r="52" spans="1:6" x14ac:dyDescent="0.35">
      <c r="A52" s="5" t="s">
        <v>319</v>
      </c>
      <c r="B52" s="6" t="s">
        <v>320</v>
      </c>
      <c r="C52" s="7" t="s">
        <v>321</v>
      </c>
      <c r="D52" s="7" t="s">
        <v>322</v>
      </c>
      <c r="E52" s="7" t="s">
        <v>170</v>
      </c>
      <c r="F52" s="7"/>
    </row>
    <row r="53" spans="1:6" x14ac:dyDescent="0.35">
      <c r="A53" s="8" t="s">
        <v>323</v>
      </c>
      <c r="B53" s="9" t="s">
        <v>324</v>
      </c>
      <c r="C53" s="10" t="s">
        <v>325</v>
      </c>
      <c r="D53" s="10" t="s">
        <v>322</v>
      </c>
      <c r="E53" s="10" t="s">
        <v>170</v>
      </c>
      <c r="F53" s="10"/>
    </row>
    <row r="54" spans="1:6" x14ac:dyDescent="0.35">
      <c r="A54" s="5" t="s">
        <v>326</v>
      </c>
      <c r="B54" s="6" t="s">
        <v>327</v>
      </c>
      <c r="C54" s="7" t="s">
        <v>328</v>
      </c>
      <c r="D54" s="7" t="s">
        <v>322</v>
      </c>
      <c r="E54" s="7" t="s">
        <v>170</v>
      </c>
      <c r="F54" s="7"/>
    </row>
    <row r="55" spans="1:6" x14ac:dyDescent="0.35">
      <c r="A55" s="8" t="s">
        <v>329</v>
      </c>
      <c r="B55" s="9" t="s">
        <v>267</v>
      </c>
      <c r="C55" s="10" t="s">
        <v>330</v>
      </c>
      <c r="D55" s="10" t="s">
        <v>315</v>
      </c>
      <c r="E55" s="10" t="s">
        <v>170</v>
      </c>
      <c r="F55" s="10"/>
    </row>
    <row r="56" spans="1:6" x14ac:dyDescent="0.35">
      <c r="A56" s="5" t="s">
        <v>331</v>
      </c>
      <c r="B56" s="6" t="s">
        <v>332</v>
      </c>
      <c r="C56" s="7" t="s">
        <v>333</v>
      </c>
      <c r="D56" s="7" t="s">
        <v>322</v>
      </c>
      <c r="E56" s="7" t="s">
        <v>170</v>
      </c>
      <c r="F56" s="7"/>
    </row>
  </sheetData>
  <autoFilter ref="A1:F56" xr:uid="{177C2899-9EF5-4423-A5FE-D8ACB75FA2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0E2F-0671-4FF7-ACCF-40C69916108C}">
  <dimension ref="A1:J26"/>
  <sheetViews>
    <sheetView workbookViewId="0"/>
  </sheetViews>
  <sheetFormatPr defaultRowHeight="11.65" x14ac:dyDescent="0.35"/>
  <cols>
    <col min="1" max="1" width="12.9296875" style="4" customWidth="1"/>
    <col min="2" max="2" width="25.86328125" style="4" customWidth="1"/>
    <col min="3" max="3" width="17.265625" style="4" bestFit="1" customWidth="1"/>
    <col min="4" max="4" width="29.796875" style="4" bestFit="1" customWidth="1"/>
    <col min="5" max="5" width="35.1328125" style="4" customWidth="1"/>
    <col min="6" max="6" width="7.1328125" style="4" bestFit="1" customWidth="1"/>
    <col min="7" max="7" width="8.1328125" style="4" bestFit="1" customWidth="1"/>
    <col min="8" max="8" width="6.796875" style="4" bestFit="1" customWidth="1"/>
    <col min="9" max="9" width="12.1328125" style="4" bestFit="1" customWidth="1"/>
    <col min="10" max="10" width="4.796875" style="4" bestFit="1" customWidth="1"/>
    <col min="11" max="16384" width="9.06640625" style="4"/>
  </cols>
  <sheetData>
    <row r="1" spans="1:10" ht="23.25" x14ac:dyDescent="0.35">
      <c r="A1" s="13" t="s">
        <v>334</v>
      </c>
      <c r="B1" s="13" t="s">
        <v>0</v>
      </c>
      <c r="C1" s="13" t="s">
        <v>335</v>
      </c>
      <c r="D1" s="13" t="s">
        <v>336</v>
      </c>
      <c r="E1" s="13" t="s">
        <v>337</v>
      </c>
      <c r="F1" s="14" t="s">
        <v>338</v>
      </c>
      <c r="G1" s="14" t="s">
        <v>339</v>
      </c>
      <c r="H1" s="14" t="s">
        <v>340</v>
      </c>
      <c r="I1" s="15" t="s">
        <v>341</v>
      </c>
      <c r="J1" s="15" t="s">
        <v>342</v>
      </c>
    </row>
    <row r="2" spans="1:10" ht="13.15" x14ac:dyDescent="0.4">
      <c r="A2" s="16">
        <v>12109458</v>
      </c>
      <c r="B2" s="16" t="s">
        <v>13</v>
      </c>
      <c r="C2" s="17" t="s">
        <v>343</v>
      </c>
      <c r="D2" s="17" t="s">
        <v>344</v>
      </c>
      <c r="E2" s="17" t="s">
        <v>345</v>
      </c>
      <c r="F2" s="18">
        <v>46296</v>
      </c>
      <c r="G2" s="19">
        <v>3</v>
      </c>
      <c r="H2" s="18">
        <f>F2+G2*30</f>
        <v>46386</v>
      </c>
      <c r="I2" s="20">
        <v>500</v>
      </c>
      <c r="J2" s="21">
        <v>0.3</v>
      </c>
    </row>
    <row r="3" spans="1:10" ht="13.15" x14ac:dyDescent="0.4">
      <c r="A3" s="22" t="s">
        <v>403</v>
      </c>
      <c r="B3" s="22" t="s">
        <v>13</v>
      </c>
      <c r="C3" s="23" t="s">
        <v>343</v>
      </c>
      <c r="D3" s="23" t="s">
        <v>346</v>
      </c>
      <c r="E3" s="23" t="s">
        <v>347</v>
      </c>
      <c r="F3" s="24">
        <v>46419</v>
      </c>
      <c r="G3" s="25">
        <v>20</v>
      </c>
      <c r="H3" s="24">
        <f t="shared" ref="H3:H26" si="0">F3+G3*30</f>
        <v>47019</v>
      </c>
      <c r="I3" s="26">
        <v>2000</v>
      </c>
      <c r="J3" s="27">
        <v>0.3</v>
      </c>
    </row>
    <row r="4" spans="1:10" ht="13.15" x14ac:dyDescent="0.4">
      <c r="A4" s="16" t="s">
        <v>403</v>
      </c>
      <c r="B4" s="16" t="s">
        <v>13</v>
      </c>
      <c r="C4" s="17" t="s">
        <v>343</v>
      </c>
      <c r="D4" s="17" t="s">
        <v>348</v>
      </c>
      <c r="E4" s="17" t="s">
        <v>349</v>
      </c>
      <c r="F4" s="18">
        <v>46266</v>
      </c>
      <c r="G4" s="19">
        <v>12</v>
      </c>
      <c r="H4" s="18">
        <f t="shared" si="0"/>
        <v>46626</v>
      </c>
      <c r="I4" s="20">
        <v>700</v>
      </c>
      <c r="J4" s="21">
        <v>0.5</v>
      </c>
    </row>
    <row r="5" spans="1:10" ht="13.15" x14ac:dyDescent="0.4">
      <c r="A5" s="22" t="s">
        <v>403</v>
      </c>
      <c r="B5" s="22" t="s">
        <v>13</v>
      </c>
      <c r="C5" s="23" t="s">
        <v>350</v>
      </c>
      <c r="D5" s="23" t="s">
        <v>351</v>
      </c>
      <c r="E5" s="23" t="s">
        <v>352</v>
      </c>
      <c r="F5" s="24">
        <v>46296</v>
      </c>
      <c r="G5" s="25">
        <v>6</v>
      </c>
      <c r="H5" s="24">
        <f t="shared" si="0"/>
        <v>46476</v>
      </c>
      <c r="I5" s="26">
        <v>200</v>
      </c>
      <c r="J5" s="27">
        <v>0.5</v>
      </c>
    </row>
    <row r="6" spans="1:10" ht="13.15" x14ac:dyDescent="0.4">
      <c r="A6" s="16">
        <v>12470247</v>
      </c>
      <c r="B6" s="16" t="s">
        <v>109</v>
      </c>
      <c r="C6" s="17" t="s">
        <v>353</v>
      </c>
      <c r="D6" s="17" t="s">
        <v>354</v>
      </c>
      <c r="E6" s="17" t="s">
        <v>355</v>
      </c>
      <c r="F6" s="18">
        <v>46296</v>
      </c>
      <c r="G6" s="19">
        <v>3</v>
      </c>
      <c r="H6" s="18">
        <f t="shared" si="0"/>
        <v>46386</v>
      </c>
      <c r="I6" s="20">
        <v>112</v>
      </c>
      <c r="J6" s="21">
        <v>1</v>
      </c>
    </row>
    <row r="7" spans="1:10" ht="13.15" x14ac:dyDescent="0.4">
      <c r="A7" s="22" t="s">
        <v>403</v>
      </c>
      <c r="B7" s="22" t="s">
        <v>138</v>
      </c>
      <c r="C7" s="23" t="s">
        <v>138</v>
      </c>
      <c r="D7" s="23" t="s">
        <v>356</v>
      </c>
      <c r="E7" s="23" t="s">
        <v>357</v>
      </c>
      <c r="F7" s="24">
        <v>46388</v>
      </c>
      <c r="G7" s="25">
        <v>12</v>
      </c>
      <c r="H7" s="24">
        <f t="shared" si="0"/>
        <v>46748</v>
      </c>
      <c r="I7" s="26">
        <v>600</v>
      </c>
      <c r="J7" s="27">
        <v>0.5</v>
      </c>
    </row>
    <row r="8" spans="1:10" ht="13.15" x14ac:dyDescent="0.4">
      <c r="A8" s="16" t="s">
        <v>403</v>
      </c>
      <c r="B8" s="16" t="s">
        <v>138</v>
      </c>
      <c r="C8" s="17" t="s">
        <v>138</v>
      </c>
      <c r="D8" s="17" t="s">
        <v>358</v>
      </c>
      <c r="E8" s="17" t="s">
        <v>359</v>
      </c>
      <c r="F8" s="18">
        <v>46388</v>
      </c>
      <c r="G8" s="19">
        <v>3</v>
      </c>
      <c r="H8" s="18">
        <f t="shared" si="0"/>
        <v>46478</v>
      </c>
      <c r="I8" s="20">
        <v>75</v>
      </c>
      <c r="J8" s="21">
        <v>0.5</v>
      </c>
    </row>
    <row r="9" spans="1:10" ht="13.15" x14ac:dyDescent="0.4">
      <c r="A9" s="22">
        <v>12533631</v>
      </c>
      <c r="B9" s="22" t="s">
        <v>7</v>
      </c>
      <c r="C9" s="23" t="s">
        <v>360</v>
      </c>
      <c r="D9" s="23" t="s">
        <v>361</v>
      </c>
      <c r="E9" s="23" t="s">
        <v>362</v>
      </c>
      <c r="F9" s="24">
        <v>46388</v>
      </c>
      <c r="G9" s="25">
        <v>12</v>
      </c>
      <c r="H9" s="24">
        <f t="shared" si="0"/>
        <v>46748</v>
      </c>
      <c r="I9" s="26">
        <v>2000</v>
      </c>
      <c r="J9" s="27">
        <v>0.3</v>
      </c>
    </row>
    <row r="10" spans="1:10" ht="13.15" x14ac:dyDescent="0.4">
      <c r="A10" s="16">
        <v>12615987</v>
      </c>
      <c r="B10" s="16" t="s">
        <v>7</v>
      </c>
      <c r="C10" s="17" t="s">
        <v>360</v>
      </c>
      <c r="D10" s="17" t="s">
        <v>363</v>
      </c>
      <c r="E10" s="17" t="s">
        <v>364</v>
      </c>
      <c r="F10" s="18">
        <v>46388</v>
      </c>
      <c r="G10" s="19">
        <v>12</v>
      </c>
      <c r="H10" s="18">
        <f t="shared" si="0"/>
        <v>46748</v>
      </c>
      <c r="I10" s="20">
        <v>1000</v>
      </c>
      <c r="J10" s="21">
        <v>0.3</v>
      </c>
    </row>
    <row r="11" spans="1:10" ht="13.15" x14ac:dyDescent="0.4">
      <c r="A11" s="22" t="s">
        <v>403</v>
      </c>
      <c r="B11" s="22" t="s">
        <v>7</v>
      </c>
      <c r="C11" s="23" t="s">
        <v>360</v>
      </c>
      <c r="D11" s="23" t="s">
        <v>365</v>
      </c>
      <c r="E11" s="23" t="s">
        <v>366</v>
      </c>
      <c r="F11" s="24">
        <v>46388</v>
      </c>
      <c r="G11" s="25">
        <v>12</v>
      </c>
      <c r="H11" s="24">
        <f t="shared" si="0"/>
        <v>46748</v>
      </c>
      <c r="I11" s="26">
        <v>300</v>
      </c>
      <c r="J11" s="27">
        <v>1</v>
      </c>
    </row>
    <row r="12" spans="1:10" ht="13.15" x14ac:dyDescent="0.4">
      <c r="A12" s="16" t="s">
        <v>403</v>
      </c>
      <c r="B12" s="16" t="s">
        <v>7</v>
      </c>
      <c r="C12" s="17" t="s">
        <v>360</v>
      </c>
      <c r="D12" s="17" t="s">
        <v>367</v>
      </c>
      <c r="E12" s="17" t="s">
        <v>368</v>
      </c>
      <c r="F12" s="18">
        <v>46296</v>
      </c>
      <c r="G12" s="19">
        <v>6</v>
      </c>
      <c r="H12" s="18">
        <f t="shared" si="0"/>
        <v>46476</v>
      </c>
      <c r="I12" s="20">
        <v>376</v>
      </c>
      <c r="J12" s="21">
        <v>0.3</v>
      </c>
    </row>
    <row r="13" spans="1:10" ht="13.15" x14ac:dyDescent="0.4">
      <c r="A13" s="22">
        <v>12548343</v>
      </c>
      <c r="B13" s="22" t="s">
        <v>15</v>
      </c>
      <c r="C13" s="23" t="s">
        <v>369</v>
      </c>
      <c r="D13" s="23" t="s">
        <v>370</v>
      </c>
      <c r="E13" s="23" t="s">
        <v>371</v>
      </c>
      <c r="F13" s="24">
        <v>46296</v>
      </c>
      <c r="G13" s="25">
        <v>6</v>
      </c>
      <c r="H13" s="24">
        <f t="shared" si="0"/>
        <v>46476</v>
      </c>
      <c r="I13" s="26">
        <v>400</v>
      </c>
      <c r="J13" s="27">
        <v>0.5</v>
      </c>
    </row>
    <row r="14" spans="1:10" ht="13.15" x14ac:dyDescent="0.4">
      <c r="A14" s="16" t="s">
        <v>403</v>
      </c>
      <c r="B14" s="16" t="s">
        <v>15</v>
      </c>
      <c r="C14" s="17" t="s">
        <v>369</v>
      </c>
      <c r="D14" s="17" t="s">
        <v>372</v>
      </c>
      <c r="E14" s="17" t="s">
        <v>373</v>
      </c>
      <c r="F14" s="18">
        <v>46327</v>
      </c>
      <c r="G14" s="19">
        <v>17</v>
      </c>
      <c r="H14" s="18">
        <f t="shared" si="0"/>
        <v>46837</v>
      </c>
      <c r="I14" s="20">
        <v>2300</v>
      </c>
      <c r="J14" s="21">
        <v>0.3</v>
      </c>
    </row>
    <row r="15" spans="1:10" ht="13.15" x14ac:dyDescent="0.4">
      <c r="A15" s="22" t="s">
        <v>403</v>
      </c>
      <c r="B15" s="22" t="s">
        <v>15</v>
      </c>
      <c r="C15" s="23" t="s">
        <v>369</v>
      </c>
      <c r="D15" s="23" t="s">
        <v>374</v>
      </c>
      <c r="E15" s="23" t="s">
        <v>375</v>
      </c>
      <c r="F15" s="24">
        <v>46388</v>
      </c>
      <c r="G15" s="25">
        <v>12</v>
      </c>
      <c r="H15" s="24">
        <f t="shared" si="0"/>
        <v>46748</v>
      </c>
      <c r="I15" s="26">
        <v>300</v>
      </c>
      <c r="J15" s="27">
        <v>0.3</v>
      </c>
    </row>
    <row r="16" spans="1:10" ht="13.15" x14ac:dyDescent="0.4">
      <c r="A16" s="16">
        <v>12579368</v>
      </c>
      <c r="B16" s="16" t="s">
        <v>6</v>
      </c>
      <c r="C16" s="17" t="s">
        <v>376</v>
      </c>
      <c r="D16" s="17" t="s">
        <v>377</v>
      </c>
      <c r="E16" s="17" t="s">
        <v>378</v>
      </c>
      <c r="F16" s="18">
        <v>46296</v>
      </c>
      <c r="G16" s="19">
        <v>6</v>
      </c>
      <c r="H16" s="18">
        <f t="shared" si="0"/>
        <v>46476</v>
      </c>
      <c r="I16" s="20">
        <v>510</v>
      </c>
      <c r="J16" s="21">
        <v>0.5</v>
      </c>
    </row>
    <row r="17" spans="1:10" ht="13.15" x14ac:dyDescent="0.4">
      <c r="A17" s="22" t="s">
        <v>403</v>
      </c>
      <c r="B17" s="22" t="s">
        <v>30</v>
      </c>
      <c r="C17" s="23" t="s">
        <v>379</v>
      </c>
      <c r="D17" s="23" t="s">
        <v>380</v>
      </c>
      <c r="E17" s="23" t="s">
        <v>381</v>
      </c>
      <c r="F17" s="24">
        <v>46388</v>
      </c>
      <c r="G17" s="25">
        <v>6</v>
      </c>
      <c r="H17" s="24">
        <f t="shared" si="0"/>
        <v>46568</v>
      </c>
      <c r="I17" s="26">
        <v>300</v>
      </c>
      <c r="J17" s="27">
        <v>0.5</v>
      </c>
    </row>
    <row r="18" spans="1:10" ht="13.15" x14ac:dyDescent="0.4">
      <c r="A18" s="16" t="s">
        <v>403</v>
      </c>
      <c r="B18" s="16" t="s">
        <v>30</v>
      </c>
      <c r="C18" s="17" t="s">
        <v>382</v>
      </c>
      <c r="D18" s="17" t="s">
        <v>383</v>
      </c>
      <c r="E18" s="17" t="s">
        <v>384</v>
      </c>
      <c r="F18" s="18">
        <v>46419</v>
      </c>
      <c r="G18" s="19">
        <v>6</v>
      </c>
      <c r="H18" s="18">
        <f t="shared" si="0"/>
        <v>46599</v>
      </c>
      <c r="I18" s="20">
        <v>300</v>
      </c>
      <c r="J18" s="21">
        <v>0.5</v>
      </c>
    </row>
    <row r="19" spans="1:10" ht="13.15" x14ac:dyDescent="0.4">
      <c r="A19" s="22" t="s">
        <v>403</v>
      </c>
      <c r="B19" s="22" t="s">
        <v>17</v>
      </c>
      <c r="C19" s="23" t="s">
        <v>385</v>
      </c>
      <c r="D19" s="23" t="s">
        <v>386</v>
      </c>
      <c r="E19" s="23" t="s">
        <v>387</v>
      </c>
      <c r="F19" s="24">
        <v>46296</v>
      </c>
      <c r="G19" s="25">
        <v>2</v>
      </c>
      <c r="H19" s="24">
        <f t="shared" si="0"/>
        <v>46356</v>
      </c>
      <c r="I19" s="26">
        <v>100</v>
      </c>
      <c r="J19" s="27">
        <v>1</v>
      </c>
    </row>
    <row r="20" spans="1:10" ht="13.15" x14ac:dyDescent="0.4">
      <c r="A20" s="16" t="s">
        <v>403</v>
      </c>
      <c r="B20" s="16" t="s">
        <v>154</v>
      </c>
      <c r="C20" s="17" t="s">
        <v>154</v>
      </c>
      <c r="D20" s="17" t="s">
        <v>388</v>
      </c>
      <c r="E20" s="17" t="s">
        <v>389</v>
      </c>
      <c r="F20" s="18">
        <v>46296</v>
      </c>
      <c r="G20" s="19">
        <v>11</v>
      </c>
      <c r="H20" s="18">
        <f t="shared" si="0"/>
        <v>46626</v>
      </c>
      <c r="I20" s="20">
        <v>400</v>
      </c>
      <c r="J20" s="21">
        <v>0.3</v>
      </c>
    </row>
    <row r="21" spans="1:10" ht="13.15" x14ac:dyDescent="0.4">
      <c r="A21" s="22" t="s">
        <v>403</v>
      </c>
      <c r="B21" s="22" t="s">
        <v>158</v>
      </c>
      <c r="C21" s="23" t="s">
        <v>158</v>
      </c>
      <c r="D21" s="23" t="s">
        <v>390</v>
      </c>
      <c r="E21" s="23" t="s">
        <v>391</v>
      </c>
      <c r="F21" s="24">
        <v>46327</v>
      </c>
      <c r="G21" s="25">
        <v>11</v>
      </c>
      <c r="H21" s="24">
        <f t="shared" si="0"/>
        <v>46657</v>
      </c>
      <c r="I21" s="26">
        <v>400</v>
      </c>
      <c r="J21" s="27">
        <v>0.3</v>
      </c>
    </row>
    <row r="22" spans="1:10" ht="13.15" x14ac:dyDescent="0.4">
      <c r="A22" s="16" t="s">
        <v>392</v>
      </c>
      <c r="B22" s="16" t="s">
        <v>14</v>
      </c>
      <c r="C22" s="17" t="s">
        <v>393</v>
      </c>
      <c r="D22" s="17" t="s">
        <v>394</v>
      </c>
      <c r="E22" s="17" t="s">
        <v>395</v>
      </c>
      <c r="F22" s="18">
        <v>46266</v>
      </c>
      <c r="G22" s="19">
        <v>12</v>
      </c>
      <c r="H22" s="18">
        <f t="shared" si="0"/>
        <v>46626</v>
      </c>
      <c r="I22" s="20">
        <v>300</v>
      </c>
      <c r="J22" s="21">
        <v>1</v>
      </c>
    </row>
    <row r="23" spans="1:10" ht="13.15" x14ac:dyDescent="0.4">
      <c r="A23" s="22" t="s">
        <v>403</v>
      </c>
      <c r="B23" s="22" t="s">
        <v>155</v>
      </c>
      <c r="C23" s="23" t="s">
        <v>155</v>
      </c>
      <c r="D23" s="23" t="s">
        <v>396</v>
      </c>
      <c r="E23" s="23" t="s">
        <v>397</v>
      </c>
      <c r="F23" s="24">
        <v>46296</v>
      </c>
      <c r="G23" s="25">
        <v>27</v>
      </c>
      <c r="H23" s="24">
        <f t="shared" si="0"/>
        <v>47106</v>
      </c>
      <c r="I23" s="26">
        <v>3000</v>
      </c>
      <c r="J23" s="27">
        <v>0.5</v>
      </c>
    </row>
    <row r="24" spans="1:10" ht="13.15" x14ac:dyDescent="0.4">
      <c r="A24" s="16" t="s">
        <v>392</v>
      </c>
      <c r="B24" s="16" t="s">
        <v>157</v>
      </c>
      <c r="C24" s="17" t="s">
        <v>157</v>
      </c>
      <c r="D24" s="17" t="s">
        <v>398</v>
      </c>
      <c r="E24" s="17" t="s">
        <v>399</v>
      </c>
      <c r="F24" s="18">
        <v>46266</v>
      </c>
      <c r="G24" s="19">
        <v>5</v>
      </c>
      <c r="H24" s="18">
        <f t="shared" si="0"/>
        <v>46416</v>
      </c>
      <c r="I24" s="20">
        <v>125</v>
      </c>
      <c r="J24" s="21">
        <v>1</v>
      </c>
    </row>
    <row r="25" spans="1:10" ht="13.15" x14ac:dyDescent="0.4">
      <c r="A25" s="22" t="s">
        <v>403</v>
      </c>
      <c r="B25" s="22" t="s">
        <v>9</v>
      </c>
      <c r="C25" s="23" t="s">
        <v>400</v>
      </c>
      <c r="D25" s="23" t="s">
        <v>401</v>
      </c>
      <c r="E25" s="23" t="s">
        <v>402</v>
      </c>
      <c r="F25" s="24">
        <v>46296</v>
      </c>
      <c r="G25" s="25">
        <v>6</v>
      </c>
      <c r="H25" s="24">
        <f t="shared" si="0"/>
        <v>46476</v>
      </c>
      <c r="I25" s="26">
        <v>300</v>
      </c>
      <c r="J25" s="27">
        <v>0.3</v>
      </c>
    </row>
    <row r="26" spans="1:10" ht="13.15" x14ac:dyDescent="0.4">
      <c r="A26" s="16" t="s">
        <v>403</v>
      </c>
      <c r="B26" s="16" t="s">
        <v>5</v>
      </c>
      <c r="C26" s="17" t="s">
        <v>5</v>
      </c>
      <c r="D26" s="17" t="s">
        <v>404</v>
      </c>
      <c r="E26" s="17" t="s">
        <v>405</v>
      </c>
      <c r="F26" s="18">
        <v>46286</v>
      </c>
      <c r="G26" s="19">
        <v>1</v>
      </c>
      <c r="H26" s="18">
        <f t="shared" si="0"/>
        <v>46316</v>
      </c>
      <c r="I26" s="20">
        <v>27</v>
      </c>
      <c r="J26" s="2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940DAFD-55D0-4C95-AABA-E20BE9DD5A44}">
          <x14:formula1>
            <xm:f>Client_List!$A$2:$A$160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D5A3-B369-4975-9F98-450F5797D3FA}">
  <dimension ref="A1:N56"/>
  <sheetViews>
    <sheetView tabSelected="1" workbookViewId="0"/>
  </sheetViews>
  <sheetFormatPr defaultRowHeight="10.5" x14ac:dyDescent="0.35"/>
  <cols>
    <col min="1" max="1" width="13.46484375" style="31" bestFit="1" customWidth="1"/>
    <col min="2" max="2" width="15.1328125" style="31" bestFit="1" customWidth="1"/>
    <col min="3" max="3" width="6.9296875" style="31" bestFit="1" customWidth="1"/>
    <col min="4" max="4" width="12.33203125" style="31" bestFit="1" customWidth="1"/>
    <col min="5" max="5" width="3.9296875" style="31" bestFit="1" customWidth="1"/>
    <col min="6" max="6" width="20.9296875" style="31" customWidth="1"/>
    <col min="7" max="7" width="19" style="31" bestFit="1" customWidth="1"/>
    <col min="8" max="8" width="24.73046875" style="31" bestFit="1" customWidth="1"/>
    <col min="9" max="9" width="17.59765625" style="31" bestFit="1" customWidth="1"/>
    <col min="10" max="10" width="7.53125" style="31" bestFit="1" customWidth="1"/>
    <col min="11" max="11" width="18.19921875" style="31" bestFit="1" customWidth="1"/>
    <col min="12" max="12" width="13.59765625" style="31" bestFit="1" customWidth="1"/>
    <col min="13" max="13" width="11.6640625" style="31" bestFit="1" customWidth="1"/>
    <col min="14" max="14" width="10.1328125" style="31" bestFit="1" customWidth="1"/>
    <col min="15" max="16384" width="9.06640625" style="31"/>
  </cols>
  <sheetData>
    <row r="1" spans="1:14" x14ac:dyDescent="0.35">
      <c r="A1" s="28" t="s">
        <v>160</v>
      </c>
      <c r="B1" s="29" t="s">
        <v>161</v>
      </c>
      <c r="C1" s="29" t="s">
        <v>162</v>
      </c>
      <c r="D1" s="29" t="s">
        <v>163</v>
      </c>
      <c r="E1" s="29" t="s">
        <v>406</v>
      </c>
      <c r="F1" s="29" t="s">
        <v>0</v>
      </c>
      <c r="G1" s="29" t="s">
        <v>407</v>
      </c>
      <c r="H1" s="29" t="s">
        <v>408</v>
      </c>
      <c r="I1" s="29" t="s">
        <v>409</v>
      </c>
      <c r="J1" s="29" t="s">
        <v>410</v>
      </c>
      <c r="K1" s="29" t="s">
        <v>411</v>
      </c>
      <c r="L1" s="30" t="s">
        <v>412</v>
      </c>
      <c r="M1" s="29" t="s">
        <v>413</v>
      </c>
      <c r="N1" s="29" t="s">
        <v>414</v>
      </c>
    </row>
    <row r="2" spans="1:14" s="37" customFormat="1" x14ac:dyDescent="0.35">
      <c r="A2" s="32" t="s">
        <v>166</v>
      </c>
      <c r="B2" s="33" t="s">
        <v>167</v>
      </c>
      <c r="C2" s="33" t="s">
        <v>168</v>
      </c>
      <c r="D2" s="34" t="s">
        <v>169</v>
      </c>
      <c r="E2" s="34">
        <v>400</v>
      </c>
      <c r="F2" s="34"/>
      <c r="G2" s="34" t="s">
        <v>415</v>
      </c>
      <c r="H2" s="34"/>
      <c r="I2" s="35"/>
      <c r="J2" s="36"/>
      <c r="K2" s="34"/>
      <c r="L2" s="35"/>
      <c r="M2" s="34"/>
      <c r="N2" s="34"/>
    </row>
    <row r="3" spans="1:14" s="37" customFormat="1" x14ac:dyDescent="0.35">
      <c r="A3" s="38" t="s">
        <v>171</v>
      </c>
      <c r="B3" s="39" t="s">
        <v>172</v>
      </c>
      <c r="C3" s="39" t="s">
        <v>173</v>
      </c>
      <c r="D3" s="40" t="s">
        <v>169</v>
      </c>
      <c r="E3" s="40">
        <v>400</v>
      </c>
      <c r="F3" s="40"/>
      <c r="G3" s="40" t="s">
        <v>415</v>
      </c>
      <c r="H3" s="40"/>
      <c r="I3" s="41"/>
      <c r="J3" s="42"/>
      <c r="K3" s="40"/>
      <c r="L3" s="41"/>
      <c r="M3" s="40"/>
      <c r="N3" s="40"/>
    </row>
    <row r="4" spans="1:14" s="37" customFormat="1" x14ac:dyDescent="0.35">
      <c r="A4" s="32" t="s">
        <v>175</v>
      </c>
      <c r="B4" s="33" t="s">
        <v>176</v>
      </c>
      <c r="C4" s="33" t="s">
        <v>177</v>
      </c>
      <c r="D4" s="34" t="s">
        <v>169</v>
      </c>
      <c r="E4" s="34">
        <v>400</v>
      </c>
      <c r="F4" s="34"/>
      <c r="G4" s="34" t="s">
        <v>415</v>
      </c>
      <c r="H4" s="34"/>
      <c r="I4" s="35"/>
      <c r="J4" s="36"/>
      <c r="K4" s="34"/>
      <c r="L4" s="35"/>
      <c r="M4" s="34"/>
      <c r="N4" s="34"/>
    </row>
    <row r="5" spans="1:14" s="37" customFormat="1" x14ac:dyDescent="0.35">
      <c r="A5" s="38" t="s">
        <v>178</v>
      </c>
      <c r="B5" s="39" t="s">
        <v>179</v>
      </c>
      <c r="C5" s="39" t="s">
        <v>180</v>
      </c>
      <c r="D5" s="40" t="s">
        <v>169</v>
      </c>
      <c r="E5" s="40">
        <v>400</v>
      </c>
      <c r="F5" s="40"/>
      <c r="G5" s="40" t="s">
        <v>415</v>
      </c>
      <c r="H5" s="40"/>
      <c r="I5" s="41"/>
      <c r="J5" s="42"/>
      <c r="K5" s="40"/>
      <c r="L5" s="41"/>
      <c r="M5" s="40"/>
      <c r="N5" s="40"/>
    </row>
    <row r="6" spans="1:14" s="37" customFormat="1" x14ac:dyDescent="0.35">
      <c r="A6" s="32" t="s">
        <v>178</v>
      </c>
      <c r="B6" s="33" t="s">
        <v>181</v>
      </c>
      <c r="C6" s="33" t="s">
        <v>182</v>
      </c>
      <c r="D6" s="34" t="s">
        <v>169</v>
      </c>
      <c r="E6" s="34">
        <v>400</v>
      </c>
      <c r="F6" s="34" t="s">
        <v>30</v>
      </c>
      <c r="G6" s="34" t="s">
        <v>379</v>
      </c>
      <c r="H6" s="34" t="s">
        <v>421</v>
      </c>
      <c r="I6" s="35"/>
      <c r="J6" s="36"/>
      <c r="K6" s="34"/>
      <c r="L6" s="35"/>
      <c r="M6" s="34"/>
      <c r="N6" s="34"/>
    </row>
    <row r="7" spans="1:14" s="37" customFormat="1" x14ac:dyDescent="0.35">
      <c r="A7" s="38" t="s">
        <v>183</v>
      </c>
      <c r="B7" s="39" t="s">
        <v>184</v>
      </c>
      <c r="C7" s="39" t="s">
        <v>185</v>
      </c>
      <c r="D7" s="40" t="s">
        <v>186</v>
      </c>
      <c r="E7" s="40">
        <v>950</v>
      </c>
      <c r="F7" s="40" t="s">
        <v>14</v>
      </c>
      <c r="G7" s="40" t="s">
        <v>393</v>
      </c>
      <c r="H7" s="40" t="s">
        <v>416</v>
      </c>
      <c r="I7" s="41">
        <v>1</v>
      </c>
      <c r="J7" s="42">
        <v>46387</v>
      </c>
      <c r="K7" s="40" t="s">
        <v>417</v>
      </c>
      <c r="L7" s="41">
        <v>1</v>
      </c>
      <c r="M7" s="40">
        <v>12</v>
      </c>
      <c r="N7" s="40">
        <v>216</v>
      </c>
    </row>
    <row r="8" spans="1:14" s="37" customFormat="1" x14ac:dyDescent="0.35">
      <c r="A8" s="32" t="s">
        <v>187</v>
      </c>
      <c r="B8" s="33" t="s">
        <v>188</v>
      </c>
      <c r="C8" s="33" t="s">
        <v>189</v>
      </c>
      <c r="D8" s="34" t="s">
        <v>186</v>
      </c>
      <c r="E8" s="34">
        <v>950</v>
      </c>
      <c r="F8" s="34" t="s">
        <v>7</v>
      </c>
      <c r="G8" s="34" t="s">
        <v>360</v>
      </c>
      <c r="H8" s="34" t="s">
        <v>440</v>
      </c>
      <c r="I8" s="35">
        <v>1</v>
      </c>
      <c r="J8" s="36">
        <v>46387</v>
      </c>
      <c r="K8" s="34" t="s">
        <v>418</v>
      </c>
      <c r="L8" s="35">
        <v>0.5</v>
      </c>
      <c r="M8" s="34">
        <v>6</v>
      </c>
      <c r="N8" s="34">
        <v>108</v>
      </c>
    </row>
    <row r="9" spans="1:14" s="37" customFormat="1" x14ac:dyDescent="0.35">
      <c r="A9" s="38" t="s">
        <v>190</v>
      </c>
      <c r="B9" s="39" t="s">
        <v>191</v>
      </c>
      <c r="C9" s="39" t="s">
        <v>192</v>
      </c>
      <c r="D9" s="40" t="s">
        <v>186</v>
      </c>
      <c r="E9" s="40">
        <v>950</v>
      </c>
      <c r="F9" s="40" t="s">
        <v>13</v>
      </c>
      <c r="G9" s="40" t="s">
        <v>343</v>
      </c>
      <c r="H9" s="40" t="s">
        <v>419</v>
      </c>
      <c r="I9" s="41">
        <v>1</v>
      </c>
      <c r="J9" s="42">
        <v>46295</v>
      </c>
      <c r="K9" s="40" t="s">
        <v>420</v>
      </c>
      <c r="L9" s="41">
        <v>0</v>
      </c>
      <c r="M9" s="40"/>
      <c r="N9" s="40"/>
    </row>
    <row r="10" spans="1:14" s="37" customFormat="1" x14ac:dyDescent="0.35">
      <c r="A10" s="32" t="s">
        <v>193</v>
      </c>
      <c r="B10" s="33" t="s">
        <v>194</v>
      </c>
      <c r="C10" s="33" t="s">
        <v>195</v>
      </c>
      <c r="D10" s="34" t="s">
        <v>186</v>
      </c>
      <c r="E10" s="34">
        <v>950</v>
      </c>
      <c r="F10" s="34" t="s">
        <v>30</v>
      </c>
      <c r="G10" s="34" t="s">
        <v>379</v>
      </c>
      <c r="H10" s="34" t="s">
        <v>421</v>
      </c>
      <c r="I10" s="35">
        <v>1</v>
      </c>
      <c r="J10" s="36">
        <v>46387</v>
      </c>
      <c r="K10" s="34" t="s">
        <v>422</v>
      </c>
      <c r="L10" s="35">
        <v>0</v>
      </c>
      <c r="M10" s="34"/>
      <c r="N10" s="34"/>
    </row>
    <row r="11" spans="1:14" s="37" customFormat="1" x14ac:dyDescent="0.35">
      <c r="A11" s="38" t="s">
        <v>196</v>
      </c>
      <c r="B11" s="39" t="s">
        <v>197</v>
      </c>
      <c r="C11" s="39" t="s">
        <v>198</v>
      </c>
      <c r="D11" s="40" t="s">
        <v>186</v>
      </c>
      <c r="E11" s="40">
        <v>950</v>
      </c>
      <c r="F11" s="40" t="s">
        <v>138</v>
      </c>
      <c r="G11" s="40" t="s">
        <v>423</v>
      </c>
      <c r="H11" s="40" t="s">
        <v>424</v>
      </c>
      <c r="I11" s="41">
        <v>1</v>
      </c>
      <c r="J11" s="42">
        <v>46387</v>
      </c>
      <c r="K11" s="40" t="s">
        <v>425</v>
      </c>
      <c r="L11" s="41">
        <v>0.3</v>
      </c>
      <c r="M11" s="40">
        <v>6</v>
      </c>
      <c r="N11" s="40">
        <v>108</v>
      </c>
    </row>
    <row r="12" spans="1:14" s="37" customFormat="1" x14ac:dyDescent="0.35">
      <c r="A12" s="32" t="s">
        <v>199</v>
      </c>
      <c r="B12" s="33" t="s">
        <v>200</v>
      </c>
      <c r="C12" s="33" t="s">
        <v>201</v>
      </c>
      <c r="D12" s="34" t="s">
        <v>202</v>
      </c>
      <c r="E12" s="34">
        <v>1200</v>
      </c>
      <c r="F12" s="34" t="s">
        <v>44</v>
      </c>
      <c r="G12" s="34" t="s">
        <v>426</v>
      </c>
      <c r="H12" s="34" t="s">
        <v>158</v>
      </c>
      <c r="I12" s="35">
        <v>1</v>
      </c>
      <c r="J12" s="36">
        <v>46295</v>
      </c>
      <c r="K12" s="34" t="s">
        <v>427</v>
      </c>
      <c r="L12" s="35">
        <v>0</v>
      </c>
      <c r="M12" s="34"/>
      <c r="N12" s="34">
        <v>0</v>
      </c>
    </row>
    <row r="13" spans="1:14" s="37" customFormat="1" x14ac:dyDescent="0.35">
      <c r="A13" s="38" t="s">
        <v>203</v>
      </c>
      <c r="B13" s="39" t="s">
        <v>204</v>
      </c>
      <c r="C13" s="39" t="s">
        <v>205</v>
      </c>
      <c r="D13" s="40" t="s">
        <v>202</v>
      </c>
      <c r="E13" s="40">
        <v>1200</v>
      </c>
      <c r="F13" s="40"/>
      <c r="G13" s="40" t="s">
        <v>428</v>
      </c>
      <c r="H13" s="40" t="s">
        <v>428</v>
      </c>
      <c r="I13" s="41"/>
      <c r="J13" s="42"/>
      <c r="K13" s="40" t="s">
        <v>428</v>
      </c>
      <c r="L13" s="41"/>
      <c r="M13" s="40"/>
      <c r="N13" s="40">
        <v>0</v>
      </c>
    </row>
    <row r="14" spans="1:14" s="37" customFormat="1" x14ac:dyDescent="0.35">
      <c r="A14" s="32" t="s">
        <v>206</v>
      </c>
      <c r="B14" s="33" t="s">
        <v>207</v>
      </c>
      <c r="C14" s="33" t="s">
        <v>208</v>
      </c>
      <c r="D14" s="34" t="s">
        <v>202</v>
      </c>
      <c r="E14" s="34">
        <v>1200</v>
      </c>
      <c r="F14" s="34" t="s">
        <v>9</v>
      </c>
      <c r="G14" s="34" t="s">
        <v>400</v>
      </c>
      <c r="H14" s="34" t="s">
        <v>467</v>
      </c>
      <c r="I14" s="35">
        <v>1</v>
      </c>
      <c r="J14" s="36">
        <v>46280</v>
      </c>
      <c r="K14" s="34" t="s">
        <v>429</v>
      </c>
      <c r="L14" s="35">
        <v>0</v>
      </c>
      <c r="M14" s="34"/>
      <c r="N14" s="34">
        <v>0</v>
      </c>
    </row>
    <row r="15" spans="1:14" s="37" customFormat="1" x14ac:dyDescent="0.35">
      <c r="A15" s="38" t="s">
        <v>209</v>
      </c>
      <c r="B15" s="39" t="s">
        <v>210</v>
      </c>
      <c r="C15" s="39" t="s">
        <v>211</v>
      </c>
      <c r="D15" s="40" t="s">
        <v>202</v>
      </c>
      <c r="E15" s="40">
        <v>1200</v>
      </c>
      <c r="F15" s="40" t="s">
        <v>138</v>
      </c>
      <c r="G15" s="40" t="s">
        <v>423</v>
      </c>
      <c r="H15" s="40" t="s">
        <v>424</v>
      </c>
      <c r="I15" s="41">
        <v>1</v>
      </c>
      <c r="J15" s="42">
        <v>46281</v>
      </c>
      <c r="K15" s="40" t="s">
        <v>425</v>
      </c>
      <c r="L15" s="41">
        <v>0</v>
      </c>
      <c r="M15" s="40"/>
      <c r="N15" s="40">
        <v>0</v>
      </c>
    </row>
    <row r="16" spans="1:14" s="37" customFormat="1" x14ac:dyDescent="0.35">
      <c r="A16" s="32" t="s">
        <v>212</v>
      </c>
      <c r="B16" s="33" t="s">
        <v>213</v>
      </c>
      <c r="C16" s="33" t="s">
        <v>214</v>
      </c>
      <c r="D16" s="34" t="s">
        <v>202</v>
      </c>
      <c r="E16" s="34">
        <v>1200</v>
      </c>
      <c r="F16" s="34" t="s">
        <v>156</v>
      </c>
      <c r="G16" s="34" t="s">
        <v>156</v>
      </c>
      <c r="H16" s="34" t="s">
        <v>430</v>
      </c>
      <c r="I16" s="35">
        <v>1</v>
      </c>
      <c r="J16" s="36">
        <v>46387</v>
      </c>
      <c r="K16" s="34" t="s">
        <v>427</v>
      </c>
      <c r="L16" s="35">
        <v>0.6</v>
      </c>
      <c r="M16" s="34">
        <v>6</v>
      </c>
      <c r="N16" s="34">
        <v>150</v>
      </c>
    </row>
    <row r="17" spans="1:14" s="37" customFormat="1" x14ac:dyDescent="0.35">
      <c r="A17" s="38" t="s">
        <v>215</v>
      </c>
      <c r="B17" s="39" t="s">
        <v>216</v>
      </c>
      <c r="C17" s="39" t="s">
        <v>217</v>
      </c>
      <c r="D17" s="40" t="s">
        <v>202</v>
      </c>
      <c r="E17" s="40">
        <v>1200</v>
      </c>
      <c r="F17" s="40" t="s">
        <v>154</v>
      </c>
      <c r="G17" s="40" t="s">
        <v>154</v>
      </c>
      <c r="H17" s="40" t="s">
        <v>431</v>
      </c>
      <c r="I17" s="41">
        <v>1</v>
      </c>
      <c r="J17" s="42">
        <v>46387</v>
      </c>
      <c r="K17" s="40" t="s">
        <v>432</v>
      </c>
      <c r="L17" s="41">
        <v>1</v>
      </c>
      <c r="M17" s="40">
        <v>12</v>
      </c>
      <c r="N17" s="40">
        <v>300</v>
      </c>
    </row>
    <row r="18" spans="1:14" s="37" customFormat="1" x14ac:dyDescent="0.35">
      <c r="A18" s="32" t="s">
        <v>218</v>
      </c>
      <c r="B18" s="33" t="s">
        <v>219</v>
      </c>
      <c r="C18" s="33" t="s">
        <v>220</v>
      </c>
      <c r="D18" s="34" t="s">
        <v>202</v>
      </c>
      <c r="E18" s="34">
        <v>1200</v>
      </c>
      <c r="F18" s="34" t="s">
        <v>138</v>
      </c>
      <c r="G18" s="34" t="s">
        <v>423</v>
      </c>
      <c r="H18" s="34" t="s">
        <v>424</v>
      </c>
      <c r="I18" s="35">
        <v>1</v>
      </c>
      <c r="J18" s="36">
        <v>46387</v>
      </c>
      <c r="K18" s="34" t="s">
        <v>425</v>
      </c>
      <c r="L18" s="35">
        <v>0.3</v>
      </c>
      <c r="M18" s="34">
        <v>6</v>
      </c>
      <c r="N18" s="34">
        <v>150</v>
      </c>
    </row>
    <row r="19" spans="1:14" s="37" customFormat="1" x14ac:dyDescent="0.35">
      <c r="A19" s="38" t="s">
        <v>221</v>
      </c>
      <c r="B19" s="39" t="s">
        <v>222</v>
      </c>
      <c r="C19" s="39" t="s">
        <v>223</v>
      </c>
      <c r="D19" s="40" t="s">
        <v>202</v>
      </c>
      <c r="E19" s="40">
        <v>1200</v>
      </c>
      <c r="F19" s="40" t="s">
        <v>157</v>
      </c>
      <c r="G19" s="40" t="s">
        <v>157</v>
      </c>
      <c r="H19" s="40" t="s">
        <v>433</v>
      </c>
      <c r="I19" s="41">
        <v>1</v>
      </c>
      <c r="J19" s="42">
        <v>46446</v>
      </c>
      <c r="K19" s="40" t="s">
        <v>427</v>
      </c>
      <c r="L19" s="41">
        <v>0.5</v>
      </c>
      <c r="M19" s="40">
        <v>3</v>
      </c>
      <c r="N19" s="40">
        <v>75</v>
      </c>
    </row>
    <row r="20" spans="1:14" s="37" customFormat="1" x14ac:dyDescent="0.35">
      <c r="A20" s="32" t="s">
        <v>224</v>
      </c>
      <c r="B20" s="33" t="s">
        <v>225</v>
      </c>
      <c r="C20" s="33" t="s">
        <v>226</v>
      </c>
      <c r="D20" s="34" t="s">
        <v>202</v>
      </c>
      <c r="E20" s="34">
        <v>1200</v>
      </c>
      <c r="F20" s="34" t="s">
        <v>138</v>
      </c>
      <c r="G20" s="34" t="s">
        <v>423</v>
      </c>
      <c r="H20" s="34" t="s">
        <v>434</v>
      </c>
      <c r="I20" s="35">
        <v>1</v>
      </c>
      <c r="J20" s="36">
        <v>46387</v>
      </c>
      <c r="K20" s="34" t="s">
        <v>435</v>
      </c>
      <c r="L20" s="35">
        <v>0.6</v>
      </c>
      <c r="M20" s="34">
        <v>6</v>
      </c>
      <c r="N20" s="34">
        <v>150</v>
      </c>
    </row>
    <row r="21" spans="1:14" s="37" customFormat="1" x14ac:dyDescent="0.35">
      <c r="A21" s="38" t="s">
        <v>227</v>
      </c>
      <c r="B21" s="39" t="s">
        <v>228</v>
      </c>
      <c r="C21" s="39" t="s">
        <v>229</v>
      </c>
      <c r="D21" s="40" t="s">
        <v>202</v>
      </c>
      <c r="E21" s="40">
        <v>1200</v>
      </c>
      <c r="F21" s="40" t="s">
        <v>13</v>
      </c>
      <c r="G21" s="40" t="s">
        <v>436</v>
      </c>
      <c r="H21" s="40" t="s">
        <v>437</v>
      </c>
      <c r="I21" s="41">
        <v>1</v>
      </c>
      <c r="J21" s="42">
        <v>46326</v>
      </c>
      <c r="K21" s="40" t="s">
        <v>427</v>
      </c>
      <c r="L21" s="41">
        <v>0.8</v>
      </c>
      <c r="M21" s="40">
        <v>3</v>
      </c>
      <c r="N21" s="40">
        <v>75</v>
      </c>
    </row>
    <row r="22" spans="1:14" s="37" customFormat="1" x14ac:dyDescent="0.35">
      <c r="A22" s="32" t="s">
        <v>230</v>
      </c>
      <c r="B22" s="33" t="s">
        <v>231</v>
      </c>
      <c r="C22" s="33" t="s">
        <v>232</v>
      </c>
      <c r="D22" s="34" t="s">
        <v>202</v>
      </c>
      <c r="E22" s="34">
        <v>1200</v>
      </c>
      <c r="F22" s="34" t="s">
        <v>30</v>
      </c>
      <c r="G22" s="34" t="s">
        <v>379</v>
      </c>
      <c r="H22" s="34" t="s">
        <v>421</v>
      </c>
      <c r="I22" s="35">
        <v>1</v>
      </c>
      <c r="J22" s="36">
        <v>46387</v>
      </c>
      <c r="K22" s="34" t="s">
        <v>422</v>
      </c>
      <c r="L22" s="35">
        <v>0</v>
      </c>
      <c r="M22" s="34"/>
      <c r="N22" s="34">
        <v>0</v>
      </c>
    </row>
    <row r="23" spans="1:14" s="37" customFormat="1" x14ac:dyDescent="0.35">
      <c r="A23" s="38" t="s">
        <v>233</v>
      </c>
      <c r="B23" s="39" t="s">
        <v>234</v>
      </c>
      <c r="C23" s="39" t="s">
        <v>235</v>
      </c>
      <c r="D23" s="40" t="s">
        <v>202</v>
      </c>
      <c r="E23" s="40">
        <v>1200</v>
      </c>
      <c r="F23" s="40" t="s">
        <v>14</v>
      </c>
      <c r="G23" s="40" t="s">
        <v>393</v>
      </c>
      <c r="H23" s="40" t="s">
        <v>416</v>
      </c>
      <c r="I23" s="41">
        <v>1</v>
      </c>
      <c r="J23" s="42">
        <v>46387</v>
      </c>
      <c r="K23" s="40" t="s">
        <v>417</v>
      </c>
      <c r="L23" s="41">
        <v>1</v>
      </c>
      <c r="M23" s="40">
        <v>12</v>
      </c>
      <c r="N23" s="40">
        <v>300</v>
      </c>
    </row>
    <row r="24" spans="1:14" s="37" customFormat="1" x14ac:dyDescent="0.35">
      <c r="A24" s="32" t="s">
        <v>236</v>
      </c>
      <c r="B24" s="33" t="s">
        <v>237</v>
      </c>
      <c r="C24" s="33" t="s">
        <v>238</v>
      </c>
      <c r="D24" s="34" t="s">
        <v>202</v>
      </c>
      <c r="E24" s="34">
        <v>1200</v>
      </c>
      <c r="F24" s="34" t="s">
        <v>3</v>
      </c>
      <c r="G24" s="34" t="s">
        <v>464</v>
      </c>
      <c r="H24" s="34" t="s">
        <v>438</v>
      </c>
      <c r="I24" s="35">
        <v>1</v>
      </c>
      <c r="J24" s="36">
        <v>46387</v>
      </c>
      <c r="K24" s="34" t="s">
        <v>439</v>
      </c>
      <c r="L24" s="35">
        <v>1</v>
      </c>
      <c r="M24" s="34">
        <v>12</v>
      </c>
      <c r="N24" s="34">
        <v>300</v>
      </c>
    </row>
    <row r="25" spans="1:14" s="37" customFormat="1" x14ac:dyDescent="0.35">
      <c r="A25" s="38" t="s">
        <v>239</v>
      </c>
      <c r="B25" s="39" t="s">
        <v>240</v>
      </c>
      <c r="C25" s="39" t="s">
        <v>241</v>
      </c>
      <c r="D25" s="40" t="s">
        <v>202</v>
      </c>
      <c r="E25" s="40">
        <v>1200</v>
      </c>
      <c r="F25" s="40" t="s">
        <v>7</v>
      </c>
      <c r="G25" s="40" t="s">
        <v>79</v>
      </c>
      <c r="H25" s="40" t="s">
        <v>440</v>
      </c>
      <c r="I25" s="41">
        <v>1</v>
      </c>
      <c r="J25" s="42">
        <v>46387</v>
      </c>
      <c r="K25" s="40" t="s">
        <v>427</v>
      </c>
      <c r="L25" s="41">
        <v>0</v>
      </c>
      <c r="M25" s="40"/>
      <c r="N25" s="40">
        <v>0</v>
      </c>
    </row>
    <row r="26" spans="1:14" s="37" customFormat="1" x14ac:dyDescent="0.35">
      <c r="A26" s="32" t="s">
        <v>242</v>
      </c>
      <c r="B26" s="33" t="s">
        <v>243</v>
      </c>
      <c r="C26" s="33" t="s">
        <v>244</v>
      </c>
      <c r="D26" s="34" t="s">
        <v>202</v>
      </c>
      <c r="E26" s="34">
        <v>1200</v>
      </c>
      <c r="F26" s="34" t="s">
        <v>13</v>
      </c>
      <c r="G26" s="34" t="s">
        <v>343</v>
      </c>
      <c r="H26" s="34" t="s">
        <v>441</v>
      </c>
      <c r="I26" s="35">
        <v>1</v>
      </c>
      <c r="J26" s="36">
        <v>46321</v>
      </c>
      <c r="K26" s="34" t="s">
        <v>442</v>
      </c>
      <c r="L26" s="35">
        <v>1</v>
      </c>
      <c r="M26" s="34">
        <v>6</v>
      </c>
      <c r="N26" s="34">
        <v>150</v>
      </c>
    </row>
    <row r="27" spans="1:14" s="37" customFormat="1" x14ac:dyDescent="0.35">
      <c r="A27" s="38" t="s">
        <v>245</v>
      </c>
      <c r="B27" s="39" t="s">
        <v>246</v>
      </c>
      <c r="C27" s="39" t="s">
        <v>247</v>
      </c>
      <c r="D27" s="40" t="s">
        <v>202</v>
      </c>
      <c r="E27" s="40">
        <v>1200</v>
      </c>
      <c r="F27" s="40" t="s">
        <v>14</v>
      </c>
      <c r="G27" s="40" t="s">
        <v>393</v>
      </c>
      <c r="H27" s="40" t="s">
        <v>416</v>
      </c>
      <c r="I27" s="41">
        <v>1</v>
      </c>
      <c r="J27" s="42">
        <v>46387</v>
      </c>
      <c r="K27" s="40" t="s">
        <v>417</v>
      </c>
      <c r="L27" s="41">
        <v>1</v>
      </c>
      <c r="M27" s="40">
        <v>12</v>
      </c>
      <c r="N27" s="40">
        <v>300</v>
      </c>
    </row>
    <row r="28" spans="1:14" s="37" customFormat="1" x14ac:dyDescent="0.35">
      <c r="A28" s="32" t="s">
        <v>248</v>
      </c>
      <c r="B28" s="33" t="s">
        <v>249</v>
      </c>
      <c r="C28" s="33" t="s">
        <v>247</v>
      </c>
      <c r="D28" s="34" t="s">
        <v>202</v>
      </c>
      <c r="E28" s="34">
        <v>1200</v>
      </c>
      <c r="F28" s="34" t="s">
        <v>14</v>
      </c>
      <c r="G28" s="34" t="s">
        <v>393</v>
      </c>
      <c r="H28" s="34" t="s">
        <v>416</v>
      </c>
      <c r="I28" s="35">
        <v>1</v>
      </c>
      <c r="J28" s="36">
        <v>46387</v>
      </c>
      <c r="K28" s="34" t="s">
        <v>417</v>
      </c>
      <c r="L28" s="35">
        <v>1</v>
      </c>
      <c r="M28" s="34">
        <v>12</v>
      </c>
      <c r="N28" s="34">
        <v>300</v>
      </c>
    </row>
    <row r="29" spans="1:14" s="37" customFormat="1" x14ac:dyDescent="0.35">
      <c r="A29" s="38" t="s">
        <v>250</v>
      </c>
      <c r="B29" s="39" t="s">
        <v>251</v>
      </c>
      <c r="C29" s="39" t="s">
        <v>252</v>
      </c>
      <c r="D29" s="40" t="s">
        <v>202</v>
      </c>
      <c r="E29" s="40">
        <v>1200</v>
      </c>
      <c r="F29" s="40" t="s">
        <v>1</v>
      </c>
      <c r="G29" s="40" t="s">
        <v>443</v>
      </c>
      <c r="H29" s="40" t="s">
        <v>444</v>
      </c>
      <c r="I29" s="41">
        <v>1</v>
      </c>
      <c r="J29" s="42">
        <v>46507</v>
      </c>
      <c r="K29" s="40" t="s">
        <v>445</v>
      </c>
      <c r="L29" s="41">
        <v>0</v>
      </c>
      <c r="M29" s="40"/>
      <c r="N29" s="40">
        <v>0</v>
      </c>
    </row>
    <row r="30" spans="1:14" s="37" customFormat="1" x14ac:dyDescent="0.35">
      <c r="A30" s="32" t="s">
        <v>253</v>
      </c>
      <c r="B30" s="33" t="s">
        <v>254</v>
      </c>
      <c r="C30" s="33" t="s">
        <v>255</v>
      </c>
      <c r="D30" s="34" t="s">
        <v>202</v>
      </c>
      <c r="E30" s="34">
        <v>1200</v>
      </c>
      <c r="F30" s="34" t="s">
        <v>138</v>
      </c>
      <c r="G30" s="34" t="s">
        <v>423</v>
      </c>
      <c r="H30" s="34" t="s">
        <v>424</v>
      </c>
      <c r="I30" s="35">
        <v>1</v>
      </c>
      <c r="J30" s="36">
        <v>46290</v>
      </c>
      <c r="K30" s="34" t="s">
        <v>446</v>
      </c>
      <c r="L30" s="35">
        <v>0</v>
      </c>
      <c r="M30" s="34"/>
      <c r="N30" s="34">
        <v>0</v>
      </c>
    </row>
    <row r="31" spans="1:14" s="37" customFormat="1" x14ac:dyDescent="0.35">
      <c r="A31" s="38" t="s">
        <v>256</v>
      </c>
      <c r="B31" s="39" t="s">
        <v>257</v>
      </c>
      <c r="C31" s="39" t="s">
        <v>258</v>
      </c>
      <c r="D31" s="40" t="s">
        <v>202</v>
      </c>
      <c r="E31" s="40">
        <v>1200</v>
      </c>
      <c r="F31" s="40" t="s">
        <v>1</v>
      </c>
      <c r="G31" s="40" t="s">
        <v>443</v>
      </c>
      <c r="H31" s="40" t="s">
        <v>447</v>
      </c>
      <c r="I31" s="41">
        <v>1</v>
      </c>
      <c r="J31" s="42">
        <v>46310</v>
      </c>
      <c r="K31" s="40" t="s">
        <v>445</v>
      </c>
      <c r="L31" s="41">
        <v>0</v>
      </c>
      <c r="M31" s="40"/>
      <c r="N31" s="40">
        <v>0</v>
      </c>
    </row>
    <row r="32" spans="1:14" s="37" customFormat="1" x14ac:dyDescent="0.35">
      <c r="A32" s="32" t="s">
        <v>259</v>
      </c>
      <c r="B32" s="33" t="s">
        <v>260</v>
      </c>
      <c r="C32" s="33" t="s">
        <v>261</v>
      </c>
      <c r="D32" s="34" t="s">
        <v>202</v>
      </c>
      <c r="E32" s="34">
        <v>1200</v>
      </c>
      <c r="F32" s="34"/>
      <c r="G32" s="34"/>
      <c r="H32" s="34" t="s">
        <v>428</v>
      </c>
      <c r="I32" s="35"/>
      <c r="J32" s="36"/>
      <c r="K32" s="34" t="s">
        <v>428</v>
      </c>
      <c r="L32" s="35"/>
      <c r="M32" s="34"/>
      <c r="N32" s="34">
        <v>0</v>
      </c>
    </row>
    <row r="33" spans="1:14" s="37" customFormat="1" x14ac:dyDescent="0.35">
      <c r="A33" s="38" t="s">
        <v>262</v>
      </c>
      <c r="B33" s="39" t="s">
        <v>263</v>
      </c>
      <c r="C33" s="39" t="s">
        <v>264</v>
      </c>
      <c r="D33" s="40" t="s">
        <v>202</v>
      </c>
      <c r="E33" s="40">
        <v>1200</v>
      </c>
      <c r="F33" s="40" t="s">
        <v>9</v>
      </c>
      <c r="G33" s="40" t="s">
        <v>400</v>
      </c>
      <c r="H33" s="40" t="s">
        <v>448</v>
      </c>
      <c r="I33" s="41">
        <v>1</v>
      </c>
      <c r="J33" s="42">
        <v>46295</v>
      </c>
      <c r="K33" s="40" t="s">
        <v>449</v>
      </c>
      <c r="L33" s="41">
        <v>0</v>
      </c>
      <c r="M33" s="40"/>
      <c r="N33" s="40">
        <v>0</v>
      </c>
    </row>
    <row r="34" spans="1:14" s="37" customFormat="1" x14ac:dyDescent="0.35">
      <c r="A34" s="32" t="s">
        <v>265</v>
      </c>
      <c r="B34" s="33" t="s">
        <v>266</v>
      </c>
      <c r="C34" s="33" t="s">
        <v>267</v>
      </c>
      <c r="D34" s="34" t="s">
        <v>202</v>
      </c>
      <c r="E34" s="34">
        <v>1200</v>
      </c>
      <c r="F34" s="34"/>
      <c r="G34" s="34" t="s">
        <v>428</v>
      </c>
      <c r="H34" s="34" t="s">
        <v>428</v>
      </c>
      <c r="I34" s="35"/>
      <c r="J34" s="36"/>
      <c r="K34" s="34" t="s">
        <v>428</v>
      </c>
      <c r="L34" s="35"/>
      <c r="M34" s="34"/>
      <c r="N34" s="34">
        <v>0</v>
      </c>
    </row>
    <row r="35" spans="1:14" s="37" customFormat="1" x14ac:dyDescent="0.35">
      <c r="A35" s="38" t="s">
        <v>268</v>
      </c>
      <c r="B35" s="39" t="s">
        <v>269</v>
      </c>
      <c r="C35" s="39" t="s">
        <v>270</v>
      </c>
      <c r="D35" s="40" t="s">
        <v>202</v>
      </c>
      <c r="E35" s="40">
        <v>1200</v>
      </c>
      <c r="F35" s="40" t="s">
        <v>14</v>
      </c>
      <c r="G35" s="40" t="s">
        <v>393</v>
      </c>
      <c r="H35" s="40" t="s">
        <v>416</v>
      </c>
      <c r="I35" s="41">
        <v>1</v>
      </c>
      <c r="J35" s="42">
        <v>46387</v>
      </c>
      <c r="K35" s="40" t="s">
        <v>427</v>
      </c>
      <c r="L35" s="41">
        <v>0</v>
      </c>
      <c r="M35" s="40"/>
      <c r="N35" s="40">
        <v>0</v>
      </c>
    </row>
    <row r="36" spans="1:14" s="37" customFormat="1" x14ac:dyDescent="0.35">
      <c r="A36" s="32" t="s">
        <v>271</v>
      </c>
      <c r="B36" s="33" t="s">
        <v>272</v>
      </c>
      <c r="C36" s="33" t="s">
        <v>273</v>
      </c>
      <c r="D36" s="34" t="s">
        <v>202</v>
      </c>
      <c r="E36" s="34">
        <v>1200</v>
      </c>
      <c r="F36" s="34" t="s">
        <v>1</v>
      </c>
      <c r="G36" s="34" t="s">
        <v>465</v>
      </c>
      <c r="H36" s="34" t="s">
        <v>450</v>
      </c>
      <c r="I36" s="35">
        <v>1</v>
      </c>
      <c r="J36" s="36">
        <v>46295</v>
      </c>
      <c r="K36" s="34" t="s">
        <v>451</v>
      </c>
      <c r="L36" s="35">
        <v>1</v>
      </c>
      <c r="M36" s="34">
        <v>6</v>
      </c>
      <c r="N36" s="34">
        <v>150</v>
      </c>
    </row>
    <row r="37" spans="1:14" s="37" customFormat="1" x14ac:dyDescent="0.35">
      <c r="A37" s="38" t="s">
        <v>274</v>
      </c>
      <c r="B37" s="39" t="s">
        <v>275</v>
      </c>
      <c r="C37" s="39" t="s">
        <v>276</v>
      </c>
      <c r="D37" s="40" t="s">
        <v>202</v>
      </c>
      <c r="E37" s="40">
        <v>1200</v>
      </c>
      <c r="F37" s="40"/>
      <c r="G37" s="40" t="s">
        <v>428</v>
      </c>
      <c r="H37" s="40" t="s">
        <v>428</v>
      </c>
      <c r="I37" s="41"/>
      <c r="J37" s="42"/>
      <c r="K37" s="40" t="s">
        <v>428</v>
      </c>
      <c r="L37" s="41"/>
      <c r="M37" s="40"/>
      <c r="N37" s="40">
        <v>0</v>
      </c>
    </row>
    <row r="38" spans="1:14" s="37" customFormat="1" x14ac:dyDescent="0.35">
      <c r="A38" s="32" t="s">
        <v>277</v>
      </c>
      <c r="B38" s="33" t="s">
        <v>278</v>
      </c>
      <c r="C38" s="33" t="s">
        <v>279</v>
      </c>
      <c r="D38" s="34" t="s">
        <v>202</v>
      </c>
      <c r="E38" s="34">
        <v>1200</v>
      </c>
      <c r="F38" s="34"/>
      <c r="G38" s="34"/>
      <c r="H38" s="34" t="s">
        <v>428</v>
      </c>
      <c r="I38" s="35"/>
      <c r="J38" s="36"/>
      <c r="K38" s="34" t="s">
        <v>428</v>
      </c>
      <c r="L38" s="35"/>
      <c r="M38" s="34"/>
      <c r="N38" s="34">
        <v>0</v>
      </c>
    </row>
    <row r="39" spans="1:14" s="37" customFormat="1" x14ac:dyDescent="0.35">
      <c r="A39" s="38" t="s">
        <v>280</v>
      </c>
      <c r="B39" s="39" t="s">
        <v>281</v>
      </c>
      <c r="C39" s="39" t="s">
        <v>282</v>
      </c>
      <c r="D39" s="40" t="s">
        <v>283</v>
      </c>
      <c r="E39" s="40">
        <v>1500</v>
      </c>
      <c r="F39" s="40" t="s">
        <v>155</v>
      </c>
      <c r="G39" s="40" t="s">
        <v>155</v>
      </c>
      <c r="H39" s="40" t="s">
        <v>452</v>
      </c>
      <c r="I39" s="41">
        <v>1</v>
      </c>
      <c r="J39" s="42">
        <v>46295</v>
      </c>
      <c r="K39" s="40" t="s">
        <v>453</v>
      </c>
      <c r="L39" s="41">
        <v>0</v>
      </c>
      <c r="M39" s="40"/>
      <c r="N39" s="40">
        <v>0</v>
      </c>
    </row>
    <row r="40" spans="1:14" s="37" customFormat="1" x14ac:dyDescent="0.35">
      <c r="A40" s="32" t="s">
        <v>284</v>
      </c>
      <c r="B40" s="33" t="s">
        <v>285</v>
      </c>
      <c r="C40" s="33" t="s">
        <v>286</v>
      </c>
      <c r="D40" s="34" t="s">
        <v>283</v>
      </c>
      <c r="E40" s="34">
        <v>1500</v>
      </c>
      <c r="F40" s="34"/>
      <c r="G40" s="34" t="s">
        <v>428</v>
      </c>
      <c r="H40" s="34" t="s">
        <v>428</v>
      </c>
      <c r="I40" s="35"/>
      <c r="J40" s="36"/>
      <c r="K40" s="34" t="s">
        <v>428</v>
      </c>
      <c r="L40" s="35"/>
      <c r="M40" s="34"/>
      <c r="N40" s="34">
        <v>0</v>
      </c>
    </row>
    <row r="41" spans="1:14" s="37" customFormat="1" x14ac:dyDescent="0.35">
      <c r="A41" s="38" t="s">
        <v>287</v>
      </c>
      <c r="B41" s="39" t="s">
        <v>288</v>
      </c>
      <c r="C41" s="39" t="s">
        <v>289</v>
      </c>
      <c r="D41" s="40" t="s">
        <v>283</v>
      </c>
      <c r="E41" s="40">
        <v>1500</v>
      </c>
      <c r="F41" s="40" t="s">
        <v>7</v>
      </c>
      <c r="G41" s="40" t="s">
        <v>360</v>
      </c>
      <c r="H41" s="40" t="s">
        <v>454</v>
      </c>
      <c r="I41" s="41">
        <v>1</v>
      </c>
      <c r="J41" s="42">
        <v>46387</v>
      </c>
      <c r="K41" s="40" t="s">
        <v>455</v>
      </c>
      <c r="L41" s="41">
        <v>0.5</v>
      </c>
      <c r="M41" s="40">
        <v>6</v>
      </c>
      <c r="N41" s="40">
        <v>180</v>
      </c>
    </row>
    <row r="42" spans="1:14" s="37" customFormat="1" x14ac:dyDescent="0.35">
      <c r="A42" s="32" t="s">
        <v>290</v>
      </c>
      <c r="B42" s="33" t="s">
        <v>291</v>
      </c>
      <c r="C42" s="33" t="s">
        <v>292</v>
      </c>
      <c r="D42" s="34" t="s">
        <v>283</v>
      </c>
      <c r="E42" s="34">
        <v>1500</v>
      </c>
      <c r="F42" s="34"/>
      <c r="G42" s="34"/>
      <c r="H42" s="34" t="s">
        <v>428</v>
      </c>
      <c r="I42" s="35"/>
      <c r="J42" s="36"/>
      <c r="K42" s="34" t="s">
        <v>428</v>
      </c>
      <c r="L42" s="35"/>
      <c r="M42" s="34"/>
      <c r="N42" s="34">
        <v>0</v>
      </c>
    </row>
    <row r="43" spans="1:14" s="37" customFormat="1" x14ac:dyDescent="0.35">
      <c r="A43" s="38" t="s">
        <v>293</v>
      </c>
      <c r="B43" s="39" t="s">
        <v>294</v>
      </c>
      <c r="C43" s="39" t="s">
        <v>295</v>
      </c>
      <c r="D43" s="40" t="s">
        <v>283</v>
      </c>
      <c r="E43" s="40">
        <v>1500</v>
      </c>
      <c r="F43" s="40" t="s">
        <v>7</v>
      </c>
      <c r="G43" s="40" t="s">
        <v>456</v>
      </c>
      <c r="H43" s="40" t="s">
        <v>428</v>
      </c>
      <c r="I43" s="41">
        <v>0.3</v>
      </c>
      <c r="J43" s="42">
        <v>46295</v>
      </c>
      <c r="K43" s="40" t="s">
        <v>427</v>
      </c>
      <c r="L43" s="41">
        <v>0</v>
      </c>
      <c r="M43" s="40"/>
      <c r="N43" s="40">
        <v>0</v>
      </c>
    </row>
    <row r="44" spans="1:14" s="37" customFormat="1" x14ac:dyDescent="0.35">
      <c r="A44" s="32" t="s">
        <v>296</v>
      </c>
      <c r="B44" s="33" t="s">
        <v>297</v>
      </c>
      <c r="C44" s="33" t="s">
        <v>298</v>
      </c>
      <c r="D44" s="34" t="s">
        <v>283</v>
      </c>
      <c r="E44" s="34">
        <v>1500</v>
      </c>
      <c r="F44" s="34" t="s">
        <v>138</v>
      </c>
      <c r="G44" s="34" t="s">
        <v>423</v>
      </c>
      <c r="H44" s="34" t="s">
        <v>457</v>
      </c>
      <c r="I44" s="35">
        <v>0.8</v>
      </c>
      <c r="J44" s="36">
        <v>46387</v>
      </c>
      <c r="K44" s="34" t="s">
        <v>458</v>
      </c>
      <c r="L44" s="35">
        <v>0</v>
      </c>
      <c r="M44" s="34"/>
      <c r="N44" s="34">
        <v>0</v>
      </c>
    </row>
    <row r="45" spans="1:14" s="37" customFormat="1" x14ac:dyDescent="0.35">
      <c r="A45" s="38" t="s">
        <v>299</v>
      </c>
      <c r="B45" s="39" t="s">
        <v>231</v>
      </c>
      <c r="C45" s="39" t="s">
        <v>300</v>
      </c>
      <c r="D45" s="40" t="s">
        <v>283</v>
      </c>
      <c r="E45" s="40">
        <v>1500</v>
      </c>
      <c r="F45" s="40" t="s">
        <v>9</v>
      </c>
      <c r="G45" s="40" t="s">
        <v>400</v>
      </c>
      <c r="H45" s="40" t="s">
        <v>459</v>
      </c>
      <c r="I45" s="41">
        <v>0.5</v>
      </c>
      <c r="J45" s="42">
        <v>46280</v>
      </c>
      <c r="K45" s="40" t="s">
        <v>429</v>
      </c>
      <c r="L45" s="41">
        <v>0</v>
      </c>
      <c r="M45" s="40"/>
      <c r="N45" s="40">
        <v>0</v>
      </c>
    </row>
    <row r="46" spans="1:14" s="37" customFormat="1" x14ac:dyDescent="0.35">
      <c r="A46" s="32" t="s">
        <v>301</v>
      </c>
      <c r="B46" s="33" t="s">
        <v>302</v>
      </c>
      <c r="C46" s="33" t="s">
        <v>303</v>
      </c>
      <c r="D46" s="34" t="s">
        <v>283</v>
      </c>
      <c r="E46" s="34">
        <v>1500</v>
      </c>
      <c r="F46" s="34" t="s">
        <v>7</v>
      </c>
      <c r="G46" s="34" t="s">
        <v>360</v>
      </c>
      <c r="H46" s="34" t="s">
        <v>454</v>
      </c>
      <c r="I46" s="35">
        <v>0.8</v>
      </c>
      <c r="J46" s="36">
        <v>46387</v>
      </c>
      <c r="K46" s="34" t="s">
        <v>427</v>
      </c>
      <c r="L46" s="35">
        <v>0.5</v>
      </c>
      <c r="M46" s="34">
        <v>6</v>
      </c>
      <c r="N46" s="34">
        <v>180</v>
      </c>
    </row>
    <row r="47" spans="1:14" s="37" customFormat="1" x14ac:dyDescent="0.35">
      <c r="A47" s="38" t="s">
        <v>304</v>
      </c>
      <c r="B47" s="39" t="s">
        <v>305</v>
      </c>
      <c r="C47" s="39" t="s">
        <v>267</v>
      </c>
      <c r="D47" s="40" t="s">
        <v>283</v>
      </c>
      <c r="E47" s="40">
        <v>1500</v>
      </c>
      <c r="F47" s="40"/>
      <c r="G47" s="40" t="s">
        <v>428</v>
      </c>
      <c r="H47" s="40" t="s">
        <v>428</v>
      </c>
      <c r="I47" s="41"/>
      <c r="J47" s="42"/>
      <c r="K47" s="40" t="s">
        <v>428</v>
      </c>
      <c r="L47" s="41"/>
      <c r="M47" s="40"/>
      <c r="N47" s="40">
        <v>0</v>
      </c>
    </row>
    <row r="48" spans="1:14" s="37" customFormat="1" x14ac:dyDescent="0.35">
      <c r="A48" s="32" t="s">
        <v>306</v>
      </c>
      <c r="B48" s="33" t="s">
        <v>307</v>
      </c>
      <c r="C48" s="33" t="s">
        <v>308</v>
      </c>
      <c r="D48" s="34" t="s">
        <v>283</v>
      </c>
      <c r="E48" s="34">
        <v>1500</v>
      </c>
      <c r="F48" s="34"/>
      <c r="G48" s="34" t="s">
        <v>428</v>
      </c>
      <c r="H48" s="34" t="s">
        <v>428</v>
      </c>
      <c r="I48" s="35"/>
      <c r="J48" s="36"/>
      <c r="K48" s="34" t="s">
        <v>428</v>
      </c>
      <c r="L48" s="35"/>
      <c r="M48" s="34"/>
      <c r="N48" s="34">
        <v>0</v>
      </c>
    </row>
    <row r="49" spans="1:14" s="37" customFormat="1" x14ac:dyDescent="0.35">
      <c r="A49" s="38" t="s">
        <v>309</v>
      </c>
      <c r="B49" s="39" t="s">
        <v>310</v>
      </c>
      <c r="C49" s="39" t="s">
        <v>311</v>
      </c>
      <c r="D49" s="40" t="s">
        <v>283</v>
      </c>
      <c r="E49" s="40">
        <v>1500</v>
      </c>
      <c r="F49" s="40" t="s">
        <v>14</v>
      </c>
      <c r="G49" s="40" t="s">
        <v>393</v>
      </c>
      <c r="H49" s="40" t="s">
        <v>460</v>
      </c>
      <c r="I49" s="41">
        <v>1</v>
      </c>
      <c r="J49" s="42">
        <v>46387</v>
      </c>
      <c r="K49" s="40" t="s">
        <v>429</v>
      </c>
      <c r="L49" s="41">
        <v>1</v>
      </c>
      <c r="M49" s="40">
        <v>12</v>
      </c>
      <c r="N49" s="40">
        <v>360</v>
      </c>
    </row>
    <row r="50" spans="1:14" s="37" customFormat="1" x14ac:dyDescent="0.35">
      <c r="A50" s="32" t="s">
        <v>312</v>
      </c>
      <c r="B50" s="33" t="s">
        <v>313</v>
      </c>
      <c r="C50" s="33" t="s">
        <v>314</v>
      </c>
      <c r="D50" s="34" t="s">
        <v>315</v>
      </c>
      <c r="E50" s="34">
        <v>1800</v>
      </c>
      <c r="F50" s="34" t="s">
        <v>109</v>
      </c>
      <c r="G50" s="34" t="s">
        <v>353</v>
      </c>
      <c r="H50" s="34" t="s">
        <v>461</v>
      </c>
      <c r="I50" s="35">
        <v>0.3</v>
      </c>
      <c r="J50" s="36">
        <v>46295</v>
      </c>
      <c r="K50" s="34" t="s">
        <v>427</v>
      </c>
      <c r="L50" s="35">
        <v>0.7</v>
      </c>
      <c r="M50" s="34">
        <v>3</v>
      </c>
      <c r="N50" s="34">
        <v>108</v>
      </c>
    </row>
    <row r="51" spans="1:14" s="37" customFormat="1" x14ac:dyDescent="0.35">
      <c r="A51" s="38" t="s">
        <v>316</v>
      </c>
      <c r="B51" s="39" t="s">
        <v>317</v>
      </c>
      <c r="C51" s="39" t="s">
        <v>318</v>
      </c>
      <c r="D51" s="40" t="s">
        <v>315</v>
      </c>
      <c r="E51" s="40">
        <v>1800</v>
      </c>
      <c r="F51" s="40"/>
      <c r="G51" s="40" t="s">
        <v>428</v>
      </c>
      <c r="H51" s="40" t="s">
        <v>428</v>
      </c>
      <c r="I51" s="41"/>
      <c r="J51" s="42"/>
      <c r="K51" s="40" t="s">
        <v>428</v>
      </c>
      <c r="L51" s="41"/>
      <c r="M51" s="40"/>
      <c r="N51" s="40">
        <v>0</v>
      </c>
    </row>
    <row r="52" spans="1:14" s="37" customFormat="1" x14ac:dyDescent="0.35">
      <c r="A52" s="32" t="s">
        <v>319</v>
      </c>
      <c r="B52" s="33" t="s">
        <v>320</v>
      </c>
      <c r="C52" s="33" t="s">
        <v>321</v>
      </c>
      <c r="D52" s="34" t="s">
        <v>322</v>
      </c>
      <c r="E52" s="34">
        <v>1800</v>
      </c>
      <c r="F52" s="34"/>
      <c r="G52" s="34" t="s">
        <v>428</v>
      </c>
      <c r="H52" s="34" t="s">
        <v>428</v>
      </c>
      <c r="I52" s="35"/>
      <c r="J52" s="36"/>
      <c r="K52" s="34" t="s">
        <v>428</v>
      </c>
      <c r="L52" s="35"/>
      <c r="M52" s="34"/>
      <c r="N52" s="34">
        <v>0</v>
      </c>
    </row>
    <row r="53" spans="1:14" s="37" customFormat="1" x14ac:dyDescent="0.35">
      <c r="A53" s="38" t="s">
        <v>323</v>
      </c>
      <c r="B53" s="39" t="s">
        <v>324</v>
      </c>
      <c r="C53" s="39" t="s">
        <v>325</v>
      </c>
      <c r="D53" s="40" t="s">
        <v>322</v>
      </c>
      <c r="E53" s="40">
        <v>1800</v>
      </c>
      <c r="F53" s="40" t="s">
        <v>158</v>
      </c>
      <c r="G53" s="40" t="s">
        <v>158</v>
      </c>
      <c r="H53" s="40" t="s">
        <v>158</v>
      </c>
      <c r="I53" s="41">
        <v>0.3</v>
      </c>
      <c r="J53" s="42">
        <v>46387</v>
      </c>
      <c r="K53" s="40" t="s">
        <v>427</v>
      </c>
      <c r="L53" s="41">
        <v>0</v>
      </c>
      <c r="M53" s="40"/>
      <c r="N53" s="40">
        <v>0</v>
      </c>
    </row>
    <row r="54" spans="1:14" s="37" customFormat="1" x14ac:dyDescent="0.35">
      <c r="A54" s="32" t="s">
        <v>326</v>
      </c>
      <c r="B54" s="33" t="s">
        <v>327</v>
      </c>
      <c r="C54" s="33" t="s">
        <v>328</v>
      </c>
      <c r="D54" s="34" t="s">
        <v>322</v>
      </c>
      <c r="E54" s="34">
        <v>1800</v>
      </c>
      <c r="F54" s="34" t="s">
        <v>30</v>
      </c>
      <c r="G54" s="34" t="s">
        <v>379</v>
      </c>
      <c r="H54" s="34" t="s">
        <v>421</v>
      </c>
      <c r="I54" s="35">
        <v>0.6</v>
      </c>
      <c r="J54" s="36">
        <v>46387</v>
      </c>
      <c r="K54" s="34" t="s">
        <v>422</v>
      </c>
      <c r="L54" s="35">
        <v>0</v>
      </c>
      <c r="M54" s="34"/>
      <c r="N54" s="34">
        <v>0</v>
      </c>
    </row>
    <row r="55" spans="1:14" s="37" customFormat="1" x14ac:dyDescent="0.35">
      <c r="A55" s="38" t="s">
        <v>329</v>
      </c>
      <c r="B55" s="39" t="s">
        <v>267</v>
      </c>
      <c r="C55" s="39" t="s">
        <v>330</v>
      </c>
      <c r="D55" s="40" t="s">
        <v>315</v>
      </c>
      <c r="E55" s="40">
        <v>1800</v>
      </c>
      <c r="F55" s="40" t="s">
        <v>6</v>
      </c>
      <c r="G55" s="40" t="s">
        <v>376</v>
      </c>
      <c r="H55" s="40" t="s">
        <v>462</v>
      </c>
      <c r="I55" s="41">
        <v>1</v>
      </c>
      <c r="J55" s="42">
        <v>46387</v>
      </c>
      <c r="K55" s="40" t="s">
        <v>463</v>
      </c>
      <c r="L55" s="41">
        <v>0</v>
      </c>
      <c r="M55" s="40"/>
      <c r="N55" s="40">
        <v>0</v>
      </c>
    </row>
    <row r="56" spans="1:14" s="37" customFormat="1" x14ac:dyDescent="0.35">
      <c r="A56" s="32" t="s">
        <v>331</v>
      </c>
      <c r="B56" s="33" t="s">
        <v>332</v>
      </c>
      <c r="C56" s="33" t="s">
        <v>333</v>
      </c>
      <c r="D56" s="34" t="s">
        <v>322</v>
      </c>
      <c r="E56" s="34">
        <v>1800</v>
      </c>
      <c r="F56" s="34" t="s">
        <v>13</v>
      </c>
      <c r="G56" s="34" t="s">
        <v>436</v>
      </c>
      <c r="H56" s="34" t="s">
        <v>466</v>
      </c>
      <c r="I56" s="35">
        <v>1</v>
      </c>
      <c r="J56" s="36">
        <v>46387</v>
      </c>
      <c r="K56" s="34" t="s">
        <v>427</v>
      </c>
      <c r="L56" s="35">
        <v>0.7</v>
      </c>
      <c r="M56" s="34">
        <v>3</v>
      </c>
      <c r="N56" s="34">
        <v>108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4CA8C2-D488-44C4-BBA9-FEC4B3B68399}">
          <x14:formula1>
            <xm:f>Client_List!$A$2:$A$160</xm:f>
          </x14:formula1>
          <xm:sqref>F2:F1048576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Client_List</vt:lpstr>
      <vt:lpstr>Team</vt:lpstr>
      <vt:lpstr>Pipe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Dbabis, Makram</dc:creator>
  <cp:lastModifiedBy>Ben Dbabis, Makram</cp:lastModifiedBy>
  <dcterms:created xsi:type="dcterms:W3CDTF">2026-09-10T21:46:05Z</dcterms:created>
  <dcterms:modified xsi:type="dcterms:W3CDTF">2026-09-29T17:14:56Z</dcterms:modified>
</cp:coreProperties>
</file>